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154cfad5a568b19a/Documents/"/>
    </mc:Choice>
  </mc:AlternateContent>
  <xr:revisionPtr revIDLastSave="2709" documentId="8_{77447EED-F708-4641-A5BC-599CE2929139}" xr6:coauthVersionLast="47" xr6:coauthVersionMax="47" xr10:uidLastSave="{807E7ED4-4D39-4566-B7F7-3C1F426BEAAB}"/>
  <bookViews>
    <workbookView xWindow="6090" yWindow="3030" windowWidth="18900" windowHeight="11505" xr2:uid="{2CD7EAF0-3B50-41CB-B1F0-73B9E2AEAF99}"/>
  </bookViews>
  <sheets>
    <sheet name="Income statement" sheetId="2" r:id="rId1"/>
    <sheet name="Cash Flow statement" sheetId="4" r:id="rId2"/>
    <sheet name="Balance sheet" sheetId="5" r:id="rId3"/>
    <sheet name="Supporting schedules --&gt;" sheetId="12" r:id="rId4"/>
    <sheet name="PPE schedule" sheetId="13" r:id="rId5"/>
    <sheet name="Working capital schedule" sheetId="14" r:id="rId6"/>
    <sheet name="Debt schedule" sheetId="15" r:id="rId7"/>
    <sheet name="Valuation --&gt;" sheetId="17" r:id="rId8"/>
    <sheet name="DCF" sheetId="16" r:id="rId9"/>
    <sheet name="Comps" sheetId="2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0" i="20" l="1"/>
  <c r="O21" i="20"/>
  <c r="O22" i="20"/>
  <c r="N23" i="20"/>
  <c r="O23" i="20"/>
  <c r="M23" i="20"/>
  <c r="M24" i="20" s="1"/>
  <c r="N21" i="20"/>
  <c r="O24" i="20"/>
  <c r="M22" i="20"/>
  <c r="M21" i="20"/>
  <c r="M20" i="20"/>
  <c r="O12" i="20"/>
  <c r="O13" i="20"/>
  <c r="O14" i="20"/>
  <c r="O15" i="20"/>
  <c r="O16" i="20"/>
  <c r="O17" i="20"/>
  <c r="M17" i="20"/>
  <c r="M16" i="20"/>
  <c r="M15" i="20"/>
  <c r="M14" i="20"/>
  <c r="M13" i="20"/>
  <c r="M12" i="20"/>
  <c r="E7" i="20"/>
  <c r="E9" i="20"/>
  <c r="E10" i="20"/>
  <c r="E8" i="20"/>
  <c r="I9" i="20"/>
  <c r="J8" i="20"/>
  <c r="I8" i="20"/>
  <c r="J10" i="20"/>
  <c r="F9" i="20"/>
  <c r="F10" i="20"/>
  <c r="F8" i="20"/>
  <c r="E19" i="16"/>
  <c r="F9" i="16"/>
  <c r="G9" i="16"/>
  <c r="H9" i="16"/>
  <c r="I9" i="16"/>
  <c r="E9" i="16"/>
  <c r="E10" i="16" s="1"/>
  <c r="M52" i="16"/>
  <c r="F46" i="16" s="1"/>
  <c r="F47" i="16"/>
  <c r="F48" i="16"/>
  <c r="E35" i="16" s="1"/>
  <c r="F50" i="16"/>
  <c r="F8" i="16"/>
  <c r="G8" i="16"/>
  <c r="H8" i="16"/>
  <c r="I8" i="16"/>
  <c r="E8" i="16"/>
  <c r="F6" i="16"/>
  <c r="G6" i="16"/>
  <c r="H6" i="16"/>
  <c r="I6" i="16"/>
  <c r="E6" i="16"/>
  <c r="F3" i="16"/>
  <c r="F4" i="16" s="1"/>
  <c r="F5" i="16" s="1"/>
  <c r="G3" i="16"/>
  <c r="G4" i="16" s="1"/>
  <c r="G5" i="16" s="1"/>
  <c r="G7" i="16" s="1"/>
  <c r="H3" i="16"/>
  <c r="H4" i="16" s="1"/>
  <c r="H5" i="16" s="1"/>
  <c r="I3" i="16"/>
  <c r="I4" i="16" s="1"/>
  <c r="I5" i="16" s="1"/>
  <c r="E3" i="16"/>
  <c r="E4" i="16" s="1"/>
  <c r="E5" i="16" s="1"/>
  <c r="E2" i="16"/>
  <c r="F2" i="16" s="1"/>
  <c r="G2" i="16" s="1"/>
  <c r="H2" i="16" s="1"/>
  <c r="I2" i="16" s="1"/>
  <c r="C43" i="5"/>
  <c r="D43" i="5"/>
  <c r="B43" i="5"/>
  <c r="C14" i="13"/>
  <c r="D13" i="13"/>
  <c r="D8" i="13"/>
  <c r="C8" i="13"/>
  <c r="E29" i="5"/>
  <c r="F29" i="5" s="1"/>
  <c r="G29" i="5" s="1"/>
  <c r="H29" i="5" s="1"/>
  <c r="I29" i="5" s="1"/>
  <c r="E36" i="5"/>
  <c r="F36" i="5" s="1"/>
  <c r="G36" i="5" s="1"/>
  <c r="H36" i="5" s="1"/>
  <c r="I36" i="5" s="1"/>
  <c r="E34" i="5"/>
  <c r="F34" i="5" s="1"/>
  <c r="G34" i="5" s="1"/>
  <c r="H34" i="5" s="1"/>
  <c r="I34" i="5" s="1"/>
  <c r="E35" i="5"/>
  <c r="F35" i="5" s="1"/>
  <c r="G35" i="5" s="1"/>
  <c r="H35" i="5" s="1"/>
  <c r="I35" i="5" s="1"/>
  <c r="C6" i="15"/>
  <c r="D6" i="15"/>
  <c r="B6" i="15"/>
  <c r="F6" i="15"/>
  <c r="G6" i="15"/>
  <c r="H6" i="15"/>
  <c r="I6" i="15"/>
  <c r="C5" i="15"/>
  <c r="D5" i="15"/>
  <c r="B5" i="15"/>
  <c r="C4" i="15"/>
  <c r="C8" i="15" s="1"/>
  <c r="D4" i="15"/>
  <c r="D8" i="15" s="1"/>
  <c r="E4" i="15" s="1"/>
  <c r="B4" i="15"/>
  <c r="E2" i="15"/>
  <c r="F2" i="15" s="1"/>
  <c r="G2" i="15" s="1"/>
  <c r="H2" i="15" s="1"/>
  <c r="I2" i="15" s="1"/>
  <c r="E42" i="5"/>
  <c r="F42" i="5" s="1"/>
  <c r="G42" i="5" s="1"/>
  <c r="H42" i="5" s="1"/>
  <c r="I42" i="5" s="1"/>
  <c r="E40" i="5"/>
  <c r="F40" i="5" s="1"/>
  <c r="G40" i="5" s="1"/>
  <c r="H40" i="5" s="1"/>
  <c r="I40" i="5" s="1"/>
  <c r="E22" i="5"/>
  <c r="F22" i="5" s="1"/>
  <c r="G22" i="5" s="1"/>
  <c r="H22" i="5" s="1"/>
  <c r="I22" i="5" s="1"/>
  <c r="E21" i="5"/>
  <c r="F21" i="5" s="1"/>
  <c r="G21" i="5" s="1"/>
  <c r="H21" i="5" s="1"/>
  <c r="I21" i="5" s="1"/>
  <c r="E20" i="5"/>
  <c r="F20" i="5" s="1"/>
  <c r="G20" i="5" s="1"/>
  <c r="H20" i="5" s="1"/>
  <c r="I20" i="5" s="1"/>
  <c r="E18" i="5"/>
  <c r="F18" i="5" s="1"/>
  <c r="G18" i="5" s="1"/>
  <c r="H18" i="5" s="1"/>
  <c r="I18" i="5" s="1"/>
  <c r="E19" i="5"/>
  <c r="F19" i="5" s="1"/>
  <c r="G19" i="5" s="1"/>
  <c r="H19" i="5" s="1"/>
  <c r="I19" i="5" s="1"/>
  <c r="F26" i="4"/>
  <c r="G26" i="4"/>
  <c r="H26" i="4"/>
  <c r="I26" i="4"/>
  <c r="E26" i="4"/>
  <c r="D24" i="14"/>
  <c r="C24" i="14"/>
  <c r="B24" i="14"/>
  <c r="C22" i="14"/>
  <c r="C23" i="14" s="1"/>
  <c r="D22" i="14"/>
  <c r="D23" i="14" s="1"/>
  <c r="B22" i="14"/>
  <c r="C11" i="14"/>
  <c r="C12" i="14" s="1"/>
  <c r="D11" i="14"/>
  <c r="D12" i="14" s="1"/>
  <c r="B11" i="14"/>
  <c r="B12" i="14" s="1"/>
  <c r="C9" i="14"/>
  <c r="C10" i="14" s="1"/>
  <c r="D9" i="14"/>
  <c r="D10" i="14" s="1"/>
  <c r="B9" i="14"/>
  <c r="B10" i="14" s="1"/>
  <c r="C18" i="14"/>
  <c r="C19" i="14" s="1"/>
  <c r="D18" i="14"/>
  <c r="D19" i="14" s="1"/>
  <c r="E19" i="14" s="1"/>
  <c r="E27" i="5" s="1"/>
  <c r="B18" i="14"/>
  <c r="B19" i="14" s="1"/>
  <c r="C20" i="14"/>
  <c r="C21" i="14" s="1"/>
  <c r="D20" i="14"/>
  <c r="D21" i="14" s="1"/>
  <c r="B20" i="14"/>
  <c r="B21" i="14" s="1"/>
  <c r="C16" i="14"/>
  <c r="D16" i="14"/>
  <c r="B16" i="14"/>
  <c r="C7" i="14"/>
  <c r="D7" i="14"/>
  <c r="B7" i="14"/>
  <c r="C5" i="14"/>
  <c r="C6" i="14" s="1"/>
  <c r="D5" i="14"/>
  <c r="D6" i="14" s="1"/>
  <c r="B5" i="14"/>
  <c r="B6" i="14" s="1"/>
  <c r="E2" i="14"/>
  <c r="F2" i="14" s="1"/>
  <c r="G2" i="14" s="1"/>
  <c r="H2" i="14" s="1"/>
  <c r="I2" i="14" s="1"/>
  <c r="C11" i="13"/>
  <c r="D11" i="13"/>
  <c r="C5" i="13"/>
  <c r="D5" i="13"/>
  <c r="E2" i="13"/>
  <c r="F2" i="13" s="1"/>
  <c r="G2" i="13" s="1"/>
  <c r="H2" i="13" s="1"/>
  <c r="I2" i="13" s="1"/>
  <c r="E4" i="5"/>
  <c r="F4" i="5" s="1"/>
  <c r="G4" i="5" s="1"/>
  <c r="H4" i="5" s="1"/>
  <c r="I4" i="5" s="1"/>
  <c r="C44" i="4"/>
  <c r="D44" i="4"/>
  <c r="B44" i="4"/>
  <c r="E32" i="4"/>
  <c r="C33" i="4"/>
  <c r="D33" i="4"/>
  <c r="B33" i="4"/>
  <c r="F17" i="4"/>
  <c r="G17" i="4"/>
  <c r="H17" i="4"/>
  <c r="I17" i="4"/>
  <c r="E17" i="4"/>
  <c r="C12" i="4"/>
  <c r="D12" i="4"/>
  <c r="B12" i="4"/>
  <c r="D30" i="5"/>
  <c r="D37" i="5" s="1"/>
  <c r="D14" i="5"/>
  <c r="D23" i="5" s="1"/>
  <c r="E4" i="4"/>
  <c r="F4" i="4" s="1"/>
  <c r="G4" i="4" s="1"/>
  <c r="H4" i="4" s="1"/>
  <c r="I4" i="4" s="1"/>
  <c r="F36" i="2"/>
  <c r="G36" i="2"/>
  <c r="H36" i="2"/>
  <c r="I36" i="2"/>
  <c r="E36" i="2"/>
  <c r="E53" i="2"/>
  <c r="E52" i="2"/>
  <c r="F52" i="2" s="1"/>
  <c r="G52" i="2" s="1"/>
  <c r="H52" i="2" s="1"/>
  <c r="I52" i="2" s="1"/>
  <c r="F53" i="2"/>
  <c r="F7" i="2"/>
  <c r="F32" i="4" s="1"/>
  <c r="C18" i="2"/>
  <c r="D18" i="2"/>
  <c r="B18" i="2"/>
  <c r="E4" i="2"/>
  <c r="F4" i="2" s="1"/>
  <c r="G4" i="2" s="1"/>
  <c r="H4" i="2" s="1"/>
  <c r="I4" i="2" s="1"/>
  <c r="C30" i="5"/>
  <c r="C37" i="5" s="1"/>
  <c r="B30" i="5"/>
  <c r="B37" i="5" s="1"/>
  <c r="C14" i="5"/>
  <c r="C23" i="5" s="1"/>
  <c r="B14" i="5"/>
  <c r="D47" i="4"/>
  <c r="C47" i="4"/>
  <c r="B47" i="4"/>
  <c r="B37" i="4"/>
  <c r="D37" i="4"/>
  <c r="C37" i="4"/>
  <c r="O7" i="20" l="1"/>
  <c r="G7" i="20"/>
  <c r="G9" i="20"/>
  <c r="O9" i="20"/>
  <c r="G10" i="20"/>
  <c r="O10" i="20"/>
  <c r="O8" i="20"/>
  <c r="G8" i="20"/>
  <c r="F51" i="16"/>
  <c r="E37" i="16"/>
  <c r="E18" i="16"/>
  <c r="E7" i="16"/>
  <c r="F52" i="16"/>
  <c r="C27" i="16" s="1"/>
  <c r="H7" i="16"/>
  <c r="H10" i="16" s="1"/>
  <c r="I7" i="16"/>
  <c r="I10" i="16" s="1"/>
  <c r="C25" i="16" s="1"/>
  <c r="G10" i="16"/>
  <c r="F7" i="16"/>
  <c r="F10" i="16" s="1"/>
  <c r="C13" i="13"/>
  <c r="B8" i="15"/>
  <c r="B9" i="15" s="1"/>
  <c r="D45" i="5"/>
  <c r="D5" i="5" s="1"/>
  <c r="C9" i="15"/>
  <c r="C10" i="15"/>
  <c r="D9" i="15"/>
  <c r="D10" i="15"/>
  <c r="E10" i="15" s="1"/>
  <c r="F10" i="15" s="1"/>
  <c r="G10" i="15" s="1"/>
  <c r="H10" i="15" s="1"/>
  <c r="I10" i="15" s="1"/>
  <c r="B10" i="15"/>
  <c r="B23" i="5"/>
  <c r="B57" i="4"/>
  <c r="G22" i="14"/>
  <c r="H22" i="14"/>
  <c r="H27" i="4" s="1"/>
  <c r="I22" i="14"/>
  <c r="I27" i="4" s="1"/>
  <c r="B23" i="14"/>
  <c r="F22" i="14"/>
  <c r="E22" i="14"/>
  <c r="E27" i="4" s="1"/>
  <c r="C8" i="14"/>
  <c r="C10" i="5" s="1"/>
  <c r="C13" i="14"/>
  <c r="D8" i="14"/>
  <c r="D10" i="5" s="1"/>
  <c r="D13" i="14"/>
  <c r="B8" i="14"/>
  <c r="B13" i="14"/>
  <c r="E37" i="4"/>
  <c r="E5" i="13"/>
  <c r="F5" i="13"/>
  <c r="F37" i="4"/>
  <c r="F10" i="14"/>
  <c r="I10" i="14"/>
  <c r="I11" i="5" s="1"/>
  <c r="G10" i="14"/>
  <c r="G11" i="5" s="1"/>
  <c r="H10" i="14"/>
  <c r="H11" i="5" s="1"/>
  <c r="E10" i="14"/>
  <c r="F12" i="14"/>
  <c r="G12" i="14"/>
  <c r="G13" i="5" s="1"/>
  <c r="H12" i="14"/>
  <c r="H13" i="5" s="1"/>
  <c r="I12" i="14"/>
  <c r="I13" i="5" s="1"/>
  <c r="E12" i="14"/>
  <c r="F6" i="14"/>
  <c r="G6" i="14"/>
  <c r="G12" i="5" s="1"/>
  <c r="H6" i="14"/>
  <c r="H12" i="5" s="1"/>
  <c r="I6" i="14"/>
  <c r="I12" i="5" s="1"/>
  <c r="E6" i="14"/>
  <c r="E12" i="5" s="1"/>
  <c r="F19" i="14"/>
  <c r="F27" i="5" s="1"/>
  <c r="E18" i="14"/>
  <c r="F21" i="14"/>
  <c r="I21" i="14"/>
  <c r="I28" i="5" s="1"/>
  <c r="G21" i="14"/>
  <c r="G28" i="5" s="1"/>
  <c r="E21" i="14"/>
  <c r="H21" i="14"/>
  <c r="H28" i="5" s="1"/>
  <c r="C17" i="14"/>
  <c r="C25" i="14"/>
  <c r="D17" i="14"/>
  <c r="D25" i="14"/>
  <c r="B17" i="14"/>
  <c r="B25" i="14"/>
  <c r="B56" i="4"/>
  <c r="B58" i="4"/>
  <c r="E44" i="4" s="1"/>
  <c r="F44" i="4" s="1"/>
  <c r="E43" i="4"/>
  <c r="I12" i="4"/>
  <c r="E12" i="4"/>
  <c r="E11" i="4" s="1"/>
  <c r="F12" i="4"/>
  <c r="F11" i="4" s="1"/>
  <c r="G12" i="4"/>
  <c r="H12" i="4"/>
  <c r="C45" i="5"/>
  <c r="C5" i="5" s="1"/>
  <c r="B45" i="5"/>
  <c r="G53" i="2"/>
  <c r="G7" i="2"/>
  <c r="G32" i="4" s="1"/>
  <c r="D17" i="2"/>
  <c r="E8" i="2"/>
  <c r="B13" i="2"/>
  <c r="B17" i="2"/>
  <c r="C12" i="2"/>
  <c r="C17" i="2"/>
  <c r="D13" i="2"/>
  <c r="D12" i="2"/>
  <c r="D8" i="2"/>
  <c r="C8" i="2"/>
  <c r="B12" i="2"/>
  <c r="C13" i="2"/>
  <c r="M7" i="20" l="1"/>
  <c r="N7" i="20"/>
  <c r="N9" i="20"/>
  <c r="M9" i="20"/>
  <c r="M10" i="20"/>
  <c r="N10" i="20"/>
  <c r="N8" i="20"/>
  <c r="M8" i="20"/>
  <c r="E20" i="16"/>
  <c r="E21" i="16" s="1"/>
  <c r="E33" i="16" s="1"/>
  <c r="C28" i="16"/>
  <c r="C29" i="16" s="1"/>
  <c r="F33" i="16" s="1"/>
  <c r="F34" i="16" s="1"/>
  <c r="F36" i="16" s="1"/>
  <c r="F38" i="16" s="1"/>
  <c r="F13" i="16"/>
  <c r="F14" i="16" s="1"/>
  <c r="G13" i="16"/>
  <c r="G14" i="16" s="1"/>
  <c r="E13" i="16"/>
  <c r="E14" i="16" s="1"/>
  <c r="I13" i="16"/>
  <c r="I14" i="16" s="1"/>
  <c r="H13" i="16"/>
  <c r="H14" i="16" s="1"/>
  <c r="D11" i="15"/>
  <c r="B11" i="15"/>
  <c r="C11" i="15"/>
  <c r="F20" i="14"/>
  <c r="F28" i="5"/>
  <c r="E20" i="14"/>
  <c r="E25" i="4" s="1"/>
  <c r="E28" i="5"/>
  <c r="G8" i="14"/>
  <c r="E8" i="14"/>
  <c r="F8" i="14"/>
  <c r="I8" i="14"/>
  <c r="I10" i="5" s="1"/>
  <c r="I9" i="5" s="1"/>
  <c r="H8" i="14"/>
  <c r="H10" i="5" s="1"/>
  <c r="H9" i="5" s="1"/>
  <c r="B10" i="5"/>
  <c r="F9" i="14"/>
  <c r="F11" i="5"/>
  <c r="E9" i="14"/>
  <c r="E11" i="5"/>
  <c r="F11" i="14"/>
  <c r="F13" i="5"/>
  <c r="E11" i="14"/>
  <c r="E13" i="5"/>
  <c r="F5" i="14"/>
  <c r="F12" i="5"/>
  <c r="E5" i="14"/>
  <c r="B26" i="14"/>
  <c r="B5" i="5"/>
  <c r="G9" i="14"/>
  <c r="G11" i="14"/>
  <c r="G5" i="14"/>
  <c r="G20" i="14"/>
  <c r="G27" i="4"/>
  <c r="F27" i="4"/>
  <c r="G17" i="14"/>
  <c r="G26" i="5" s="1"/>
  <c r="G11" i="4"/>
  <c r="G5" i="13"/>
  <c r="G37" i="4"/>
  <c r="F17" i="2"/>
  <c r="F16" i="2" s="1"/>
  <c r="F18" i="2" s="1"/>
  <c r="G17" i="2"/>
  <c r="G16" i="2" s="1"/>
  <c r="G18" i="2" s="1"/>
  <c r="E17" i="2"/>
  <c r="E16" i="2" s="1"/>
  <c r="E18" i="2" s="1"/>
  <c r="I17" i="2"/>
  <c r="H17" i="2"/>
  <c r="E17" i="14"/>
  <c r="E26" i="5" s="1"/>
  <c r="H17" i="14"/>
  <c r="H26" i="5" s="1"/>
  <c r="I17" i="14"/>
  <c r="I26" i="5" s="1"/>
  <c r="F17" i="14"/>
  <c r="F26" i="5" s="1"/>
  <c r="F18" i="14"/>
  <c r="G19" i="14"/>
  <c r="G27" i="5" s="1"/>
  <c r="C26" i="14"/>
  <c r="D26" i="14"/>
  <c r="F43" i="4"/>
  <c r="F47" i="4" s="1"/>
  <c r="G44" i="4"/>
  <c r="H53" i="2"/>
  <c r="H7" i="2"/>
  <c r="I12" i="2"/>
  <c r="G12" i="2"/>
  <c r="G11" i="2" s="1"/>
  <c r="E12" i="2"/>
  <c r="E11" i="2" s="1"/>
  <c r="E13" i="2" s="1"/>
  <c r="F12" i="2"/>
  <c r="F11" i="2" s="1"/>
  <c r="F13" i="2" s="1"/>
  <c r="H12" i="2"/>
  <c r="B14" i="2"/>
  <c r="B20" i="2"/>
  <c r="D14" i="2"/>
  <c r="D20" i="2"/>
  <c r="C20" i="2"/>
  <c r="C14" i="2"/>
  <c r="N15" i="20" l="1"/>
  <c r="N20" i="20" s="1"/>
  <c r="N22" i="20" s="1"/>
  <c r="N24" i="20" s="1"/>
  <c r="N16" i="20"/>
  <c r="N17" i="20"/>
  <c r="N12" i="20"/>
  <c r="N13" i="20"/>
  <c r="N14" i="20"/>
  <c r="E32" i="16"/>
  <c r="E34" i="16" s="1"/>
  <c r="E36" i="16" s="1"/>
  <c r="E38" i="16" s="1"/>
  <c r="G25" i="4"/>
  <c r="F30" i="5"/>
  <c r="G21" i="4"/>
  <c r="G30" i="5"/>
  <c r="F25" i="4"/>
  <c r="G23" i="4"/>
  <c r="E30" i="5"/>
  <c r="G10" i="5"/>
  <c r="G9" i="5" s="1"/>
  <c r="G7" i="14"/>
  <c r="G13" i="14" s="1"/>
  <c r="E21" i="4"/>
  <c r="F21" i="4"/>
  <c r="E23" i="4"/>
  <c r="F23" i="4"/>
  <c r="F22" i="4"/>
  <c r="E22" i="4"/>
  <c r="E10" i="5"/>
  <c r="E9" i="5" s="1"/>
  <c r="E7" i="14"/>
  <c r="F10" i="5"/>
  <c r="F9" i="5" s="1"/>
  <c r="F7" i="14"/>
  <c r="G22" i="4"/>
  <c r="H16" i="2"/>
  <c r="H18" i="2" s="1"/>
  <c r="H32" i="4"/>
  <c r="H9" i="14"/>
  <c r="H11" i="14"/>
  <c r="H5" i="14"/>
  <c r="H11" i="4"/>
  <c r="H20" i="14"/>
  <c r="H25" i="4" s="1"/>
  <c r="H7" i="14"/>
  <c r="F16" i="14"/>
  <c r="F25" i="14" s="1"/>
  <c r="E16" i="14"/>
  <c r="G16" i="14"/>
  <c r="G13" i="2"/>
  <c r="E14" i="2"/>
  <c r="E20" i="2"/>
  <c r="F14" i="2"/>
  <c r="F20" i="2"/>
  <c r="C6" i="13"/>
  <c r="G18" i="14"/>
  <c r="H19" i="14"/>
  <c r="H27" i="5" s="1"/>
  <c r="H30" i="5" s="1"/>
  <c r="G43" i="4"/>
  <c r="G47" i="4" s="1"/>
  <c r="H44" i="4"/>
  <c r="I53" i="2"/>
  <c r="H11" i="2"/>
  <c r="I7" i="2"/>
  <c r="B21" i="2"/>
  <c r="B24" i="2"/>
  <c r="D24" i="2"/>
  <c r="D21" i="2"/>
  <c r="C24" i="2"/>
  <c r="C21" i="2"/>
  <c r="H20" i="4" l="1"/>
  <c r="E13" i="14"/>
  <c r="E20" i="4"/>
  <c r="F13" i="14"/>
  <c r="G20" i="4"/>
  <c r="F20" i="4"/>
  <c r="G24" i="4"/>
  <c r="H5" i="13"/>
  <c r="H37" i="4"/>
  <c r="H21" i="4"/>
  <c r="H23" i="4"/>
  <c r="H13" i="14"/>
  <c r="H22" i="4"/>
  <c r="I32" i="4"/>
  <c r="I9" i="14"/>
  <c r="I21" i="4" s="1"/>
  <c r="I11" i="14"/>
  <c r="I23" i="4" s="1"/>
  <c r="I11" i="4"/>
  <c r="I7" i="14"/>
  <c r="I20" i="4" s="1"/>
  <c r="I5" i="14"/>
  <c r="I20" i="14"/>
  <c r="I25" i="4" s="1"/>
  <c r="I16" i="2"/>
  <c r="I18" i="2" s="1"/>
  <c r="G25" i="14"/>
  <c r="F24" i="4"/>
  <c r="E24" i="4"/>
  <c r="E25" i="14"/>
  <c r="G20" i="2"/>
  <c r="G14" i="2"/>
  <c r="H13" i="2"/>
  <c r="H16" i="14"/>
  <c r="H24" i="4" s="1"/>
  <c r="E10" i="13"/>
  <c r="H18" i="14"/>
  <c r="I19" i="14"/>
  <c r="H43" i="4"/>
  <c r="H47" i="4" s="1"/>
  <c r="I44" i="4"/>
  <c r="I43" i="4" s="1"/>
  <c r="I47" i="4" s="1"/>
  <c r="I11" i="2"/>
  <c r="B25" i="2"/>
  <c r="B38" i="2"/>
  <c r="D25" i="2"/>
  <c r="D38" i="2"/>
  <c r="C25" i="2"/>
  <c r="C38" i="2"/>
  <c r="I18" i="14" l="1"/>
  <c r="I27" i="5"/>
  <c r="I30" i="5" s="1"/>
  <c r="H25" i="14"/>
  <c r="I5" i="13"/>
  <c r="I37" i="4"/>
  <c r="I13" i="14"/>
  <c r="I22" i="4"/>
  <c r="H20" i="2"/>
  <c r="H14" i="2"/>
  <c r="I13" i="2"/>
  <c r="I16" i="14"/>
  <c r="D6" i="13"/>
  <c r="B42" i="2"/>
  <c r="B39" i="2"/>
  <c r="D42" i="2"/>
  <c r="D39" i="2"/>
  <c r="D44" i="2"/>
  <c r="D7" i="4" s="1"/>
  <c r="C42" i="2"/>
  <c r="C39" i="2"/>
  <c r="C44" i="2"/>
  <c r="C7" i="4" s="1"/>
  <c r="B44" i="2"/>
  <c r="B7" i="4" s="1"/>
  <c r="B29" i="4" s="1"/>
  <c r="B49" i="4" s="1"/>
  <c r="B51" i="4" s="1"/>
  <c r="I20" i="2" l="1"/>
  <c r="I14" i="2"/>
  <c r="I25" i="14"/>
  <c r="I24" i="4"/>
  <c r="D14" i="13"/>
  <c r="E4" i="13"/>
  <c r="E8" i="13" s="1"/>
  <c r="G6" i="13"/>
  <c r="H6" i="13"/>
  <c r="F6" i="13"/>
  <c r="I6" i="13"/>
  <c r="E6" i="13"/>
  <c r="D51" i="2"/>
  <c r="D50" i="2"/>
  <c r="D29" i="4"/>
  <c r="D49" i="4" s="1"/>
  <c r="D51" i="4" s="1"/>
  <c r="D48" i="2"/>
  <c r="C51" i="2"/>
  <c r="C48" i="2"/>
  <c r="C29" i="4"/>
  <c r="C49" i="4" s="1"/>
  <c r="C51" i="4" s="1"/>
  <c r="C50" i="2"/>
  <c r="B51" i="2"/>
  <c r="B50" i="2"/>
  <c r="B48" i="2"/>
  <c r="E11" i="13" l="1"/>
  <c r="E14" i="13" l="1"/>
  <c r="E17" i="5" s="1"/>
  <c r="E13" i="13"/>
  <c r="F10" i="13" s="1"/>
  <c r="E10" i="4"/>
  <c r="E22" i="2"/>
  <c r="E24" i="2" s="1"/>
  <c r="F4" i="13"/>
  <c r="F8" i="13" s="1"/>
  <c r="E25" i="2" l="1"/>
  <c r="F11" i="13"/>
  <c r="F14" i="13" l="1"/>
  <c r="F17" i="5" s="1"/>
  <c r="F13" i="13"/>
  <c r="G10" i="13" s="1"/>
  <c r="G4" i="13"/>
  <c r="G8" i="13" s="1"/>
  <c r="F22" i="2"/>
  <c r="F24" i="2" s="1"/>
  <c r="F10" i="4"/>
  <c r="G11" i="13" l="1"/>
  <c r="F25" i="2"/>
  <c r="G14" i="13" l="1"/>
  <c r="G17" i="5" s="1"/>
  <c r="G13" i="13"/>
  <c r="H10" i="13" s="1"/>
  <c r="H4" i="13"/>
  <c r="H8" i="13" s="1"/>
  <c r="G22" i="2"/>
  <c r="G24" i="2" s="1"/>
  <c r="G10" i="4"/>
  <c r="H11" i="13" l="1"/>
  <c r="G25" i="2"/>
  <c r="H14" i="13" l="1"/>
  <c r="H17" i="5" s="1"/>
  <c r="H13" i="13"/>
  <c r="I10" i="13" s="1"/>
  <c r="I4" i="13"/>
  <c r="I8" i="13" s="1"/>
  <c r="H22" i="2"/>
  <c r="H24" i="2" s="1"/>
  <c r="H10" i="4"/>
  <c r="I11" i="13" l="1"/>
  <c r="H25" i="2"/>
  <c r="I14" i="13" l="1"/>
  <c r="I17" i="5" s="1"/>
  <c r="I13" i="13"/>
  <c r="I22" i="2"/>
  <c r="I24" i="2" s="1"/>
  <c r="I10" i="4"/>
  <c r="I25" i="2" l="1"/>
  <c r="E26" i="14" l="1"/>
  <c r="G26" i="14"/>
  <c r="F26" i="14"/>
  <c r="I26" i="14"/>
  <c r="H26" i="14"/>
  <c r="E6" i="15" l="1"/>
  <c r="E5" i="15" l="1"/>
  <c r="E47" i="4"/>
  <c r="E8" i="15"/>
  <c r="E33" i="5"/>
  <c r="E37" i="5" s="1"/>
  <c r="F4" i="15"/>
  <c r="F8" i="15" s="1"/>
  <c r="G4" i="15" s="1"/>
  <c r="G8" i="15" s="1"/>
  <c r="E9" i="15"/>
  <c r="E11" i="15" s="1"/>
  <c r="E30" i="2" s="1"/>
  <c r="E38" i="2" s="1"/>
  <c r="F33" i="5" l="1"/>
  <c r="F37" i="5" s="1"/>
  <c r="F9" i="15"/>
  <c r="F11" i="15" s="1"/>
  <c r="F30" i="2" s="1"/>
  <c r="F38" i="2" s="1"/>
  <c r="E39" i="2"/>
  <c r="E41" i="2"/>
  <c r="G33" i="5"/>
  <c r="G37" i="5" s="1"/>
  <c r="H4" i="15"/>
  <c r="H8" i="15" s="1"/>
  <c r="G9" i="15"/>
  <c r="G11" i="15" s="1"/>
  <c r="G30" i="2" s="1"/>
  <c r="G38" i="2" s="1"/>
  <c r="F41" i="2" l="1"/>
  <c r="F39" i="2"/>
  <c r="H33" i="5"/>
  <c r="H37" i="5" s="1"/>
  <c r="H9" i="15"/>
  <c r="H11" i="15" s="1"/>
  <c r="H30" i="2" s="1"/>
  <c r="H38" i="2" s="1"/>
  <c r="I4" i="15"/>
  <c r="I8" i="15" s="1"/>
  <c r="G41" i="2"/>
  <c r="G39" i="2"/>
  <c r="E23" i="14"/>
  <c r="E44" i="2"/>
  <c r="H39" i="2" l="1"/>
  <c r="H41" i="2"/>
  <c r="I33" i="5"/>
  <c r="I37" i="5" s="1"/>
  <c r="I9" i="15"/>
  <c r="I11" i="15" s="1"/>
  <c r="I30" i="2" s="1"/>
  <c r="I38" i="2" s="1"/>
  <c r="E48" i="2"/>
  <c r="E50" i="2"/>
  <c r="E7" i="4"/>
  <c r="E51" i="2"/>
  <c r="F23" i="14"/>
  <c r="F44" i="2"/>
  <c r="G23" i="14"/>
  <c r="G44" i="2"/>
  <c r="I39" i="2" l="1"/>
  <c r="I41" i="2"/>
  <c r="E29" i="4"/>
  <c r="E49" i="4" s="1"/>
  <c r="E51" i="4" s="1"/>
  <c r="E8" i="5" s="1"/>
  <c r="E14" i="5" s="1"/>
  <c r="E23" i="5" s="1"/>
  <c r="E41" i="5"/>
  <c r="F50" i="2"/>
  <c r="F48" i="2"/>
  <c r="F7" i="4"/>
  <c r="F29" i="4" s="1"/>
  <c r="F49" i="4" s="1"/>
  <c r="F51" i="4" s="1"/>
  <c r="F8" i="5" s="1"/>
  <c r="F14" i="5" s="1"/>
  <c r="F23" i="5" s="1"/>
  <c r="F51" i="2"/>
  <c r="G51" i="2"/>
  <c r="G50" i="2"/>
  <c r="G7" i="4"/>
  <c r="G29" i="4" s="1"/>
  <c r="G49" i="4" s="1"/>
  <c r="G51" i="4" s="1"/>
  <c r="G8" i="5" s="1"/>
  <c r="G14" i="5" s="1"/>
  <c r="G23" i="5" s="1"/>
  <c r="G48" i="2"/>
  <c r="H23" i="14"/>
  <c r="H44" i="2"/>
  <c r="E43" i="5" l="1"/>
  <c r="E45" i="5" s="1"/>
  <c r="E5" i="5" s="1"/>
  <c r="F41" i="5"/>
  <c r="H7" i="4"/>
  <c r="H29" i="4" s="1"/>
  <c r="H49" i="4" s="1"/>
  <c r="H51" i="4" s="1"/>
  <c r="H8" i="5" s="1"/>
  <c r="H14" i="5" s="1"/>
  <c r="H23" i="5" s="1"/>
  <c r="H50" i="2"/>
  <c r="H51" i="2"/>
  <c r="H48" i="2"/>
  <c r="I23" i="14"/>
  <c r="I44" i="2"/>
  <c r="F43" i="5" l="1"/>
  <c r="F45" i="5" s="1"/>
  <c r="F5" i="5" s="1"/>
  <c r="G41" i="5"/>
  <c r="I48" i="2"/>
  <c r="I50" i="2"/>
  <c r="I51" i="2"/>
  <c r="I7" i="4"/>
  <c r="I29" i="4" s="1"/>
  <c r="I49" i="4" s="1"/>
  <c r="I51" i="4" s="1"/>
  <c r="I8" i="5" s="1"/>
  <c r="I14" i="5" s="1"/>
  <c r="I23" i="5" s="1"/>
  <c r="H41" i="5" l="1"/>
  <c r="G43" i="5"/>
  <c r="G45" i="5" s="1"/>
  <c r="G5" i="5" s="1"/>
  <c r="I41" i="5" l="1"/>
  <c r="I43" i="5" s="1"/>
  <c r="I45" i="5" s="1"/>
  <c r="I5" i="5" s="1"/>
  <c r="H43" i="5"/>
  <c r="H45" i="5" s="1"/>
  <c r="H5" i="5" s="1"/>
</calcChain>
</file>

<file path=xl/sharedStrings.xml><?xml version="1.0" encoding="utf-8"?>
<sst xmlns="http://schemas.openxmlformats.org/spreadsheetml/2006/main" count="263" uniqueCount="237">
  <si>
    <t>Interest expense</t>
  </si>
  <si>
    <t>Net income</t>
  </si>
  <si>
    <t>$ in millions</t>
  </si>
  <si>
    <t>General and administrative costs</t>
  </si>
  <si>
    <t>other income/expense</t>
  </si>
  <si>
    <t>Gain on sale of business</t>
  </si>
  <si>
    <t>Operation income</t>
  </si>
  <si>
    <t>Mark-to-market pension &amp; OPB benefit</t>
  </si>
  <si>
    <t>Non-operating FAS pension benefit</t>
  </si>
  <si>
    <t>Pre-tax income</t>
  </si>
  <si>
    <t>income tax expense (Federal and Foreign)</t>
  </si>
  <si>
    <t>Depreciation and amortization</t>
  </si>
  <si>
    <t>Stock-based compensation</t>
  </si>
  <si>
    <t>Net cash provided by operating ativities</t>
  </si>
  <si>
    <t>Capital expenditures</t>
  </si>
  <si>
    <t>Other investing activities</t>
  </si>
  <si>
    <t>Net cash used in investing activities</t>
  </si>
  <si>
    <t>Net cash provided by (used in) financing activities</t>
  </si>
  <si>
    <t>Ending cash balance</t>
  </si>
  <si>
    <t>B-21 loss provisions</t>
  </si>
  <si>
    <t>Mark-to-market pension and OPB (benefit) expense</t>
  </si>
  <si>
    <t>Net periodic pension and OPB income</t>
  </si>
  <si>
    <t xml:space="preserve">Pension and OPB contribtions </t>
  </si>
  <si>
    <t>Accounts receivable, net</t>
  </si>
  <si>
    <t>Unbilled recievables, net</t>
  </si>
  <si>
    <t>Inventoried costs, net</t>
  </si>
  <si>
    <t>Prepaid expenses and other assets</t>
  </si>
  <si>
    <t>Advance payments &amp; billings in excess of costs incurred</t>
  </si>
  <si>
    <t>Income taxes payable, net</t>
  </si>
  <si>
    <t>Changes in assets and liabilities:</t>
  </si>
  <si>
    <t xml:space="preserve"> Other operating activities</t>
  </si>
  <si>
    <t>Divestiture of training services business</t>
  </si>
  <si>
    <t>Net proceeds from issuing long-term debt</t>
  </si>
  <si>
    <t>Payments of long-term debt</t>
  </si>
  <si>
    <t>Common stock repurchase</t>
  </si>
  <si>
    <t>cash dividends paid</t>
  </si>
  <si>
    <t>Payments of employee taxes withheld from share-based awards</t>
  </si>
  <si>
    <t>Other financing activites</t>
  </si>
  <si>
    <t>Increase in cash and equivalents</t>
  </si>
  <si>
    <t>Cash and cash equivalents, beginning of year</t>
  </si>
  <si>
    <t>Assets</t>
  </si>
  <si>
    <t>Current assets</t>
  </si>
  <si>
    <t>Cash &amp; cash equivalents</t>
  </si>
  <si>
    <t>Accounts receivable</t>
  </si>
  <si>
    <t>Inventories</t>
  </si>
  <si>
    <t>Non-current assets</t>
  </si>
  <si>
    <t>Property, plant, &amp; equipment</t>
  </si>
  <si>
    <t>Goodwill</t>
  </si>
  <si>
    <t>Other assets</t>
  </si>
  <si>
    <t>Liabilities</t>
  </si>
  <si>
    <t>Accounts payable</t>
  </si>
  <si>
    <t>Other current liabilities</t>
  </si>
  <si>
    <t>Long-term liabilities</t>
  </si>
  <si>
    <t>Long-term debt</t>
  </si>
  <si>
    <t>Pension &amp; other postretirement liabilities</t>
  </si>
  <si>
    <t>Other long-term liabilities</t>
  </si>
  <si>
    <t>Shareholders' equity</t>
  </si>
  <si>
    <t>Common stock</t>
  </si>
  <si>
    <t>Accumulated other comprehensive income</t>
  </si>
  <si>
    <t>Total shareholders' equity</t>
  </si>
  <si>
    <t>Unbilled receivables</t>
  </si>
  <si>
    <t>Prepaid expenses &amp; other current assets</t>
  </si>
  <si>
    <t>Total current assets</t>
  </si>
  <si>
    <t>Operating lease right-of-use assets</t>
  </si>
  <si>
    <t>Deferred tax assets</t>
  </si>
  <si>
    <t>Pension &amp; other postretirement benefit plan assets</t>
  </si>
  <si>
    <t>Total assets</t>
  </si>
  <si>
    <t>Accrued employee compensation</t>
  </si>
  <si>
    <t>Total current liabilities</t>
  </si>
  <si>
    <t>Operating lease liabilities</t>
  </si>
  <si>
    <t>Total liabilities</t>
  </si>
  <si>
    <t>Total liabilities and shareholders' equity</t>
  </si>
  <si>
    <t>Effective tax rate</t>
  </si>
  <si>
    <t>Operating expenses</t>
  </si>
  <si>
    <t>CONSOLIDATED STATEMENTS OF EARNINGS AND COMPREHENSIVE INCOME</t>
  </si>
  <si>
    <t>NORTHROP GRUMMAN CORPORATION</t>
  </si>
  <si>
    <t>$ in millions, except per share amounts</t>
  </si>
  <si>
    <t>Sales</t>
  </si>
  <si>
    <t>Gross profit</t>
  </si>
  <si>
    <t>EBITDA</t>
  </si>
  <si>
    <t>Operating income (EBIT)</t>
  </si>
  <si>
    <t>Basic earnings per share</t>
  </si>
  <si>
    <t>Diluted earnings per share</t>
  </si>
  <si>
    <t xml:space="preserve">Basic </t>
  </si>
  <si>
    <t xml:space="preserve">Diluted </t>
  </si>
  <si>
    <t>Other comprehensive income (loss), net of tax</t>
  </si>
  <si>
    <t>Comprehensive income</t>
  </si>
  <si>
    <t>Y/Y Net sales growth rate</t>
  </si>
  <si>
    <t>COS as a % of net sales</t>
  </si>
  <si>
    <t xml:space="preserve"> Cost of sales</t>
  </si>
  <si>
    <t xml:space="preserve">Gross margin </t>
  </si>
  <si>
    <t>Net sales</t>
  </si>
  <si>
    <t>General &amp; admin. as % of net sales</t>
  </si>
  <si>
    <t>Total operating expenses</t>
  </si>
  <si>
    <t>EBITDA margin</t>
  </si>
  <si>
    <t>EBIT margin</t>
  </si>
  <si>
    <t>EBT margin</t>
  </si>
  <si>
    <t>CONSOLIDATED STATEMENTS OF CASH FLOWS</t>
  </si>
  <si>
    <t>Operating activities:</t>
  </si>
  <si>
    <t>Investing activities:</t>
  </si>
  <si>
    <t>Financing activities:</t>
  </si>
  <si>
    <t>Adjustments to reconcile net income to net cash from operating actviites:</t>
  </si>
  <si>
    <t>SBC as a % of sales</t>
  </si>
  <si>
    <t>Deferred income taxes</t>
  </si>
  <si>
    <t>CAPEX as % of sales</t>
  </si>
  <si>
    <t>Proceeds from sale of minority investments</t>
  </si>
  <si>
    <t>Dividend per share</t>
  </si>
  <si>
    <t>Dividend growth rate</t>
  </si>
  <si>
    <t>Found the growth rate of DPS then took the average (to get 10.67%). This average was then applied to 2026 based upon the 2025 DPS value</t>
  </si>
  <si>
    <t>With the cash dividends paid you are essentially saying the number of diluted shares outstanding times the DPS value is going to be what you pay out to shareholders. As it is based upon the average growth rate of dividends</t>
  </si>
  <si>
    <t>Gross PP&amp;E (Beginning balance)</t>
  </si>
  <si>
    <t>Capital expenditures (CapEx)</t>
  </si>
  <si>
    <t>Retirements/Disposals</t>
  </si>
  <si>
    <t>Gross PP&amp;E (Ending balance)</t>
  </si>
  <si>
    <t>Accumulated depreciation (Ending balance)</t>
  </si>
  <si>
    <t>Depreciation expense</t>
  </si>
  <si>
    <t>Accumulated depreciation (Beginning balance)</t>
  </si>
  <si>
    <t>Net PP&amp;E (Ending balance)</t>
  </si>
  <si>
    <t>Depreciation as a % of gross PP&amp;E</t>
  </si>
  <si>
    <t>OPERATING WORKING CAPITAL SCHEDULE ($, Millions)</t>
  </si>
  <si>
    <t>Current liabilities</t>
  </si>
  <si>
    <t>Inventory</t>
  </si>
  <si>
    <t>Unearned revenue</t>
  </si>
  <si>
    <t>Accrued expenses</t>
  </si>
  <si>
    <t>Accounts receivable days</t>
  </si>
  <si>
    <t>Days payable outstanding</t>
  </si>
  <si>
    <t>Accrued compensation as a % of revenue</t>
  </si>
  <si>
    <t>Unearned revenue as a % of total revenue</t>
  </si>
  <si>
    <t>Net working capital (NWC)</t>
  </si>
  <si>
    <t>Unbilled receivables as a % of revenue</t>
  </si>
  <si>
    <t>Prepaid expenses and other assets as a % of revenue</t>
  </si>
  <si>
    <t>Income taxes payable</t>
  </si>
  <si>
    <t>Income taxes payable as a % of tax expense</t>
  </si>
  <si>
    <t>Other liabilities</t>
  </si>
  <si>
    <t>PP &amp; E SCHEDULE ($, Millions)</t>
  </si>
  <si>
    <t>Inventory as a % of sales</t>
  </si>
  <si>
    <t>Trade accounts payable</t>
  </si>
  <si>
    <t>Advance payments &amp; billings in excess of costs incurred (unearned revenue)</t>
  </si>
  <si>
    <t>Check:</t>
  </si>
  <si>
    <t>Day sales outstanding (DSO)</t>
  </si>
  <si>
    <t>Retained earnings</t>
  </si>
  <si>
    <t>DEBT SCHEDULE ($, Millions)</t>
  </si>
  <si>
    <t>Long - term debt (Beginning balance)</t>
  </si>
  <si>
    <t>Plus: New debt issuance</t>
  </si>
  <si>
    <t>Less: Debt repayments/maturities</t>
  </si>
  <si>
    <t>Long - term debt (Ending balance)</t>
  </si>
  <si>
    <t>Average debt outstanding</t>
  </si>
  <si>
    <t>Weighted average interest rate (%)</t>
  </si>
  <si>
    <t>Calculated interest expense</t>
  </si>
  <si>
    <t>Reclassification of short - term debt</t>
  </si>
  <si>
    <t>CONSOLIDATED STATEMENTS OF FINANCIAL POSITION</t>
  </si>
  <si>
    <t>Other equity reserves</t>
  </si>
  <si>
    <t>COMPANY VALUATION ANALYSIS: NORTHRUP GRUMMAN</t>
  </si>
  <si>
    <t>accounts receivable + inventory - (accounts payable + accrued expenses)</t>
  </si>
  <si>
    <t>Working capital:</t>
  </si>
  <si>
    <t>Net debt:</t>
  </si>
  <si>
    <t>short term liabilities + long term debt - cash &amp; cash equivalents</t>
  </si>
  <si>
    <t>DISCOUNTED CASH FLOW VALUATION MODEL ($, IN MILLIONS)</t>
  </si>
  <si>
    <t>EBIT</t>
  </si>
  <si>
    <t>NOPAT</t>
  </si>
  <si>
    <t>Add: Depreciation &amp; Amortization</t>
  </si>
  <si>
    <t>Less: CapEx</t>
  </si>
  <si>
    <t>Add: Changes in NWC</t>
  </si>
  <si>
    <t>Unlevered Free Cash Flow (UFCF)</t>
  </si>
  <si>
    <t>Less: Taxes (@17%)</t>
  </si>
  <si>
    <t>Discount rate</t>
  </si>
  <si>
    <t>Discount rate (Cost of capital)</t>
  </si>
  <si>
    <t>WACC Calculation</t>
  </si>
  <si>
    <t>Cost of equity</t>
  </si>
  <si>
    <t>Cost of debt</t>
  </si>
  <si>
    <t>MV of debt</t>
  </si>
  <si>
    <t>Share price</t>
  </si>
  <si>
    <t>Shares outstanding</t>
  </si>
  <si>
    <t>WACC</t>
  </si>
  <si>
    <t>Cost of equity (Using CAPM)</t>
  </si>
  <si>
    <t>Risk - free rate of return</t>
  </si>
  <si>
    <t>Beta</t>
  </si>
  <si>
    <t>Market risk premium</t>
  </si>
  <si>
    <t>WACC = MV of equity / (MV of equity + MV of debt) * Ke + MV of debt / (MV of equity + MV of debt) * Kd (1-Tax rate)</t>
  </si>
  <si>
    <t>CAPM = Risk- free rate of return + (Beta * (Market risk premium))</t>
  </si>
  <si>
    <t>MV of equity</t>
  </si>
  <si>
    <t>Discount period</t>
  </si>
  <si>
    <t>Discount factor (1/(1 + r)^n)</t>
  </si>
  <si>
    <t>Present value of UFCF</t>
  </si>
  <si>
    <t>Terminal value</t>
  </si>
  <si>
    <t>Exit multiple method</t>
  </si>
  <si>
    <t>Exit EBITDA</t>
  </si>
  <si>
    <t>EBITDA multiple</t>
  </si>
  <si>
    <t>NPV of the terminal value</t>
  </si>
  <si>
    <t>Perpetuity method</t>
  </si>
  <si>
    <t>NPV of the UFCF</t>
  </si>
  <si>
    <t>NPV of the TV</t>
  </si>
  <si>
    <t>Total Enterprise value</t>
  </si>
  <si>
    <t>Total value of firm</t>
  </si>
  <si>
    <t>Exit multiple</t>
  </si>
  <si>
    <t>Perpetuity</t>
  </si>
  <si>
    <t>Less: Net debt</t>
  </si>
  <si>
    <t>Equity value</t>
  </si>
  <si>
    <t>Price per share</t>
  </si>
  <si>
    <t>TM(perpetuity method) = UFCF * (1+ g)/(r - g)</t>
  </si>
  <si>
    <t>Unlevered FCF (last period)</t>
  </si>
  <si>
    <t>Growth rate</t>
  </si>
  <si>
    <t>EV/EBITDA 2030</t>
  </si>
  <si>
    <t>Lockheed Martin</t>
  </si>
  <si>
    <t>Comparable Companies Analysis</t>
  </si>
  <si>
    <t>Market Data</t>
  </si>
  <si>
    <t>Company</t>
  </si>
  <si>
    <t>Ticker</t>
  </si>
  <si>
    <t>Share Price</t>
  </si>
  <si>
    <t>Shares Outstanding</t>
  </si>
  <si>
    <t>Equity Value</t>
  </si>
  <si>
    <t>Net Debt</t>
  </si>
  <si>
    <t>Enterprise Value</t>
  </si>
  <si>
    <t>Revenue</t>
  </si>
  <si>
    <t>Net Income</t>
  </si>
  <si>
    <t>Financials</t>
  </si>
  <si>
    <t>Valuation</t>
  </si>
  <si>
    <t>EV/Revenue</t>
  </si>
  <si>
    <t>EV/EBITDA</t>
  </si>
  <si>
    <t>P/E</t>
  </si>
  <si>
    <t>LMT</t>
  </si>
  <si>
    <t>General Dynamics</t>
  </si>
  <si>
    <t>GD</t>
  </si>
  <si>
    <t>Raytheon</t>
  </si>
  <si>
    <t>RTX</t>
  </si>
  <si>
    <t>High</t>
  </si>
  <si>
    <t>75th Percentile</t>
  </si>
  <si>
    <t>Average</t>
  </si>
  <si>
    <t>Median</t>
  </si>
  <si>
    <t>25th Percentile</t>
  </si>
  <si>
    <t>Low</t>
  </si>
  <si>
    <t>NOC</t>
  </si>
  <si>
    <t>Implied Market Value</t>
  </si>
  <si>
    <t>Implied Enterprise Value</t>
  </si>
  <si>
    <t>Implied Value Per Share</t>
  </si>
  <si>
    <t>Northrop Grumman</t>
  </si>
  <si>
    <t>Northrop Grumman Implied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</si>
</sst>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_);_(* \(#,##0\);_(* &quot;-&quot;??_);_(@_)"/>
    <numFmt numFmtId="165" formatCode="0&quot;A&quot;"/>
    <numFmt numFmtId="166" formatCode="0&quot;E&quot;"/>
    <numFmt numFmtId="167" formatCode="0.0%"/>
    <numFmt numFmtId="168" formatCode="0.000"/>
    <numFmt numFmtId="169" formatCode="0&quot;x&quot;"/>
    <numFmt numFmtId="170" formatCode="_(* #,##0.0_);_(* \(#,##0.0\);_(* &quot;-&quot;??_);_(@_)"/>
    <numFmt numFmtId="171" formatCode="0.0&quot;x&quot;"/>
  </numFmts>
  <fonts count="17" x14ac:knownFonts="1">
    <font>
      <sz val="11"/>
      <color theme="1"/>
      <name val="Aptos Narrow"/>
      <family val="2"/>
      <scheme val="minor"/>
    </font>
    <font>
      <sz val="11"/>
      <color theme="1"/>
      <name val="Aptos Narrow"/>
      <family val="2"/>
      <scheme val="minor"/>
    </font>
    <font>
      <i/>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002060"/>
      <name val="Aptos Narrow"/>
      <family val="2"/>
      <scheme val="minor"/>
    </font>
    <font>
      <b/>
      <sz val="11"/>
      <name val="Aptos Narrow"/>
      <family val="2"/>
      <scheme val="minor"/>
    </font>
    <font>
      <sz val="11"/>
      <name val="Aptos Narrow"/>
      <family val="2"/>
      <scheme val="minor"/>
    </font>
    <font>
      <i/>
      <sz val="11"/>
      <name val="Aptos Narrow"/>
      <family val="2"/>
      <scheme val="minor"/>
    </font>
    <font>
      <b/>
      <sz val="16"/>
      <color theme="0"/>
      <name val="Aptos Narrow"/>
      <family val="2"/>
      <scheme val="minor"/>
    </font>
    <font>
      <i/>
      <sz val="11"/>
      <color theme="0"/>
      <name val="Aptos Narrow"/>
      <family val="2"/>
      <scheme val="minor"/>
    </font>
    <font>
      <b/>
      <i/>
      <sz val="11"/>
      <color theme="0"/>
      <name val="Aptos Narrow"/>
      <family val="2"/>
      <scheme val="minor"/>
    </font>
    <font>
      <b/>
      <sz val="16"/>
      <color rgb="FF002060"/>
      <name val="Aptos Narrow"/>
      <family val="2"/>
      <scheme val="minor"/>
    </font>
    <font>
      <b/>
      <sz val="14"/>
      <color theme="0"/>
      <name val="Aptos Narrow"/>
      <family val="2"/>
      <scheme val="minor"/>
    </font>
    <font>
      <sz val="11"/>
      <color rgb="FF0A0AE0"/>
      <name val="Aptos Narrow"/>
      <family val="2"/>
      <scheme val="minor"/>
    </font>
    <font>
      <b/>
      <sz val="11"/>
      <color rgb="FF0A0AE0"/>
      <name val="Aptos Narrow"/>
      <family val="2"/>
      <scheme val="minor"/>
    </font>
  </fonts>
  <fills count="7">
    <fill>
      <patternFill patternType="none"/>
    </fill>
    <fill>
      <patternFill patternType="gray125"/>
    </fill>
    <fill>
      <patternFill patternType="solid">
        <fgColor theme="9" tint="-0.249977111117893"/>
        <bgColor indexed="64"/>
      </patternFill>
    </fill>
    <fill>
      <patternFill patternType="solid">
        <fgColor rgb="FF002060"/>
        <bgColor indexed="64"/>
      </patternFill>
    </fill>
    <fill>
      <patternFill patternType="solid">
        <fgColor theme="3" tint="9.9978637043366805E-2"/>
        <bgColor indexed="64"/>
      </patternFill>
    </fill>
    <fill>
      <patternFill patternType="solid">
        <fgColor rgb="FF060684"/>
        <bgColor indexed="64"/>
      </patternFill>
    </fill>
    <fill>
      <patternFill patternType="solid">
        <fgColor theme="3" tint="0.89999084444715716"/>
        <bgColor indexed="64"/>
      </patternFill>
    </fill>
  </fills>
  <borders count="1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0"/>
      </top>
      <bottom/>
      <diagonal/>
    </border>
    <border>
      <left/>
      <right/>
      <top/>
      <bottom style="thin">
        <color theme="0"/>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22">
    <xf numFmtId="0" fontId="0" fillId="0" borderId="0" xfId="0"/>
    <xf numFmtId="0" fontId="0" fillId="0" borderId="1" xfId="0" applyBorder="1"/>
    <xf numFmtId="0" fontId="2" fillId="0" borderId="0" xfId="0" applyFont="1"/>
    <xf numFmtId="0" fontId="0" fillId="0" borderId="0" xfId="0" applyAlignment="1">
      <alignment horizontal="left"/>
    </xf>
    <xf numFmtId="0" fontId="0" fillId="0" borderId="0" xfId="0" applyAlignment="1">
      <alignment horizontal="left" indent="1"/>
    </xf>
    <xf numFmtId="10" fontId="0" fillId="0" borderId="0" xfId="0" applyNumberFormat="1"/>
    <xf numFmtId="10" fontId="0" fillId="0" borderId="0" xfId="1" applyNumberFormat="1" applyFont="1"/>
    <xf numFmtId="0" fontId="4" fillId="0" borderId="0" xfId="0" applyFont="1"/>
    <xf numFmtId="164" fontId="6" fillId="0" borderId="0" xfId="2" applyNumberFormat="1" applyFont="1"/>
    <xf numFmtId="164" fontId="0" fillId="0" borderId="1" xfId="2" applyNumberFormat="1" applyFont="1" applyBorder="1"/>
    <xf numFmtId="164" fontId="0" fillId="0" borderId="0" xfId="2" applyNumberFormat="1" applyFont="1" applyBorder="1"/>
    <xf numFmtId="164" fontId="0" fillId="0" borderId="0" xfId="2" applyNumberFormat="1" applyFont="1"/>
    <xf numFmtId="164" fontId="4" fillId="0" borderId="0" xfId="2" applyNumberFormat="1" applyFont="1" applyBorder="1"/>
    <xf numFmtId="164" fontId="0" fillId="0" borderId="0" xfId="0" applyNumberFormat="1"/>
    <xf numFmtId="43" fontId="0" fillId="0" borderId="0" xfId="0" applyNumberFormat="1"/>
    <xf numFmtId="164" fontId="4" fillId="0" borderId="0" xfId="2" applyNumberFormat="1" applyFont="1"/>
    <xf numFmtId="164" fontId="7" fillId="0" borderId="0" xfId="2" applyNumberFormat="1" applyFont="1"/>
    <xf numFmtId="0" fontId="0" fillId="0" borderId="0" xfId="2" applyNumberFormat="1" applyFont="1"/>
    <xf numFmtId="0" fontId="5" fillId="2" borderId="0" xfId="0" applyFont="1" applyFill="1"/>
    <xf numFmtId="0" fontId="8" fillId="0" borderId="0" xfId="0" applyFont="1"/>
    <xf numFmtId="0" fontId="2" fillId="0" borderId="0" xfId="0" applyFont="1" applyAlignment="1">
      <alignment horizontal="left" indent="1"/>
    </xf>
    <xf numFmtId="166" fontId="3" fillId="2" borderId="0" xfId="0" applyNumberFormat="1" applyFont="1" applyFill="1"/>
    <xf numFmtId="165" fontId="3" fillId="3" borderId="0" xfId="2" applyNumberFormat="1" applyFont="1" applyFill="1"/>
    <xf numFmtId="10" fontId="6" fillId="0" borderId="0" xfId="1" applyNumberFormat="1" applyFont="1"/>
    <xf numFmtId="10" fontId="0" fillId="0" borderId="0" xfId="1" applyNumberFormat="1" applyFont="1" applyBorder="1"/>
    <xf numFmtId="10" fontId="8" fillId="0" borderId="0" xfId="1" applyNumberFormat="1" applyFont="1"/>
    <xf numFmtId="0" fontId="2" fillId="0" borderId="0" xfId="0" applyFont="1" applyAlignment="1">
      <alignment horizontal="left"/>
    </xf>
    <xf numFmtId="164" fontId="8" fillId="0" borderId="0" xfId="2" applyNumberFormat="1" applyFont="1"/>
    <xf numFmtId="10" fontId="9" fillId="0" borderId="0" xfId="1" applyNumberFormat="1" applyFont="1"/>
    <xf numFmtId="10" fontId="2" fillId="0" borderId="0" xfId="1" applyNumberFormat="1" applyFont="1"/>
    <xf numFmtId="10" fontId="2" fillId="0" borderId="0" xfId="1" applyNumberFormat="1" applyFont="1" applyBorder="1"/>
    <xf numFmtId="10" fontId="2" fillId="0" borderId="0" xfId="1" applyNumberFormat="1" applyFont="1" applyFill="1" applyBorder="1"/>
    <xf numFmtId="10" fontId="2" fillId="0" borderId="0" xfId="0" applyNumberFormat="1" applyFont="1"/>
    <xf numFmtId="43" fontId="0" fillId="0" borderId="0" xfId="2" applyFont="1"/>
    <xf numFmtId="43" fontId="6" fillId="0" borderId="0" xfId="2" applyFont="1"/>
    <xf numFmtId="0" fontId="0" fillId="0" borderId="0" xfId="0" applyAlignment="1">
      <alignment wrapText="1"/>
    </xf>
    <xf numFmtId="44" fontId="8" fillId="0" borderId="0" xfId="3" applyFont="1"/>
    <xf numFmtId="44" fontId="0" fillId="0" borderId="0" xfId="0" applyNumberFormat="1"/>
    <xf numFmtId="164" fontId="4" fillId="0" borderId="1" xfId="2" applyNumberFormat="1" applyFont="1" applyBorder="1"/>
    <xf numFmtId="0" fontId="4" fillId="0" borderId="1" xfId="0" applyFont="1" applyBorder="1" applyAlignment="1">
      <alignment horizontal="left" indent="1"/>
    </xf>
    <xf numFmtId="0" fontId="4" fillId="0" borderId="2" xfId="0" applyFont="1" applyBorder="1" applyAlignment="1">
      <alignment horizontal="left" indent="1"/>
    </xf>
    <xf numFmtId="164" fontId="4" fillId="0" borderId="2" xfId="2" applyNumberFormat="1" applyFont="1" applyBorder="1"/>
    <xf numFmtId="0" fontId="4" fillId="0" borderId="2" xfId="0" applyFont="1" applyBorder="1" applyAlignment="1">
      <alignment horizontal="left"/>
    </xf>
    <xf numFmtId="0" fontId="0" fillId="0" borderId="3" xfId="0" applyBorder="1" applyAlignment="1">
      <alignment horizontal="left" indent="1"/>
    </xf>
    <xf numFmtId="164" fontId="0" fillId="0" borderId="3" xfId="2" applyNumberFormat="1" applyFont="1" applyBorder="1"/>
    <xf numFmtId="9" fontId="0" fillId="0" borderId="0" xfId="1" applyFont="1"/>
    <xf numFmtId="167" fontId="0" fillId="0" borderId="0" xfId="1" applyNumberFormat="1" applyFont="1"/>
    <xf numFmtId="164" fontId="2" fillId="0" borderId="0" xfId="0" applyNumberFormat="1" applyFont="1"/>
    <xf numFmtId="0" fontId="4" fillId="0" borderId="2" xfId="0" applyFont="1" applyBorder="1"/>
    <xf numFmtId="164" fontId="2" fillId="0" borderId="0" xfId="2" applyNumberFormat="1" applyFont="1"/>
    <xf numFmtId="164" fontId="0" fillId="0" borderId="0" xfId="1" applyNumberFormat="1" applyFont="1"/>
    <xf numFmtId="164" fontId="1" fillId="0" borderId="0" xfId="2" applyNumberFormat="1" applyFont="1"/>
    <xf numFmtId="0" fontId="11" fillId="2" borderId="0" xfId="0" applyFont="1" applyFill="1"/>
    <xf numFmtId="1" fontId="12" fillId="3" borderId="0" xfId="2" applyNumberFormat="1" applyFont="1" applyFill="1"/>
    <xf numFmtId="1" fontId="12" fillId="2" borderId="0" xfId="2" applyNumberFormat="1" applyFont="1" applyFill="1"/>
    <xf numFmtId="0" fontId="4" fillId="0" borderId="0" xfId="0" applyFont="1" applyAlignment="1">
      <alignment horizontal="left"/>
    </xf>
    <xf numFmtId="164" fontId="4" fillId="0" borderId="4" xfId="0" applyNumberFormat="1" applyFont="1" applyBorder="1"/>
    <xf numFmtId="0" fontId="0" fillId="0" borderId="2" xfId="0" applyBorder="1"/>
    <xf numFmtId="0" fontId="0" fillId="0" borderId="6" xfId="0" applyBorder="1"/>
    <xf numFmtId="0" fontId="0" fillId="0" borderId="7" xfId="0" applyBorder="1"/>
    <xf numFmtId="0" fontId="0" fillId="0" borderId="8" xfId="0" applyBorder="1"/>
    <xf numFmtId="0" fontId="0" fillId="0" borderId="3" xfId="0" applyBorder="1"/>
    <xf numFmtId="0" fontId="4" fillId="0" borderId="11" xfId="0" applyFont="1" applyBorder="1"/>
    <xf numFmtId="0" fontId="0" fillId="0" borderId="12" xfId="0" applyBorder="1"/>
    <xf numFmtId="0" fontId="0" fillId="0" borderId="14" xfId="0" applyBorder="1"/>
    <xf numFmtId="0" fontId="0" fillId="0" borderId="15" xfId="0" applyBorder="1"/>
    <xf numFmtId="0" fontId="0" fillId="0" borderId="9" xfId="0" applyBorder="1"/>
    <xf numFmtId="10" fontId="0" fillId="0" borderId="13" xfId="0" applyNumberFormat="1" applyBorder="1"/>
    <xf numFmtId="10" fontId="0" fillId="0" borderId="14" xfId="0" applyNumberFormat="1" applyBorder="1"/>
    <xf numFmtId="10" fontId="0" fillId="0" borderId="14" xfId="1" applyNumberFormat="1" applyFont="1" applyBorder="1"/>
    <xf numFmtId="43" fontId="0" fillId="0" borderId="14" xfId="0" applyNumberFormat="1" applyBorder="1"/>
    <xf numFmtId="164" fontId="0" fillId="0" borderId="15" xfId="2" applyNumberFormat="1" applyFont="1" applyBorder="1"/>
    <xf numFmtId="10" fontId="0" fillId="0" borderId="10" xfId="0" applyNumberFormat="1" applyBorder="1"/>
    <xf numFmtId="10" fontId="0" fillId="0" borderId="10" xfId="1" applyNumberFormat="1" applyFont="1" applyBorder="1"/>
    <xf numFmtId="164" fontId="0" fillId="0" borderId="14" xfId="2" applyNumberFormat="1" applyFont="1" applyBorder="1"/>
    <xf numFmtId="168" fontId="0" fillId="0" borderId="0" xfId="0" applyNumberFormat="1"/>
    <xf numFmtId="0" fontId="0" fillId="0" borderId="5" xfId="0" applyBorder="1"/>
    <xf numFmtId="164" fontId="0" fillId="0" borderId="13" xfId="0" applyNumberFormat="1" applyBorder="1"/>
    <xf numFmtId="164" fontId="0" fillId="0" borderId="14" xfId="0" applyNumberFormat="1" applyBorder="1"/>
    <xf numFmtId="169" fontId="0" fillId="0" borderId="14" xfId="0" applyNumberFormat="1" applyBorder="1"/>
    <xf numFmtId="164" fontId="0" fillId="0" borderId="15" xfId="0" applyNumberFormat="1" applyBorder="1"/>
    <xf numFmtId="0" fontId="4" fillId="0" borderId="9" xfId="0" applyFont="1" applyBorder="1"/>
    <xf numFmtId="0" fontId="4" fillId="0" borderId="7" xfId="0" applyFont="1" applyBorder="1"/>
    <xf numFmtId="164" fontId="0" fillId="0" borderId="8" xfId="0" applyNumberFormat="1" applyBorder="1"/>
    <xf numFmtId="164" fontId="4" fillId="0" borderId="14" xfId="0" applyNumberFormat="1" applyFont="1" applyBorder="1"/>
    <xf numFmtId="2" fontId="0" fillId="0" borderId="15" xfId="0" applyNumberFormat="1" applyBorder="1"/>
    <xf numFmtId="0" fontId="0" fillId="0" borderId="0" xfId="0" applyAlignment="1">
      <alignment horizontal="center"/>
    </xf>
    <xf numFmtId="0" fontId="13" fillId="0" borderId="3" xfId="0" applyFont="1" applyBorder="1"/>
    <xf numFmtId="0" fontId="5" fillId="5" borderId="0" xfId="0" applyFont="1" applyFill="1"/>
    <xf numFmtId="0" fontId="5" fillId="5" borderId="0" xfId="0" applyFont="1" applyFill="1" applyAlignment="1">
      <alignment horizontal="center"/>
    </xf>
    <xf numFmtId="0" fontId="5" fillId="5" borderId="16" xfId="0" applyFont="1" applyFill="1" applyBorder="1" applyAlignment="1">
      <alignment horizontal="center" wrapText="1"/>
    </xf>
    <xf numFmtId="0" fontId="5" fillId="5" borderId="16" xfId="0" applyFont="1" applyFill="1" applyBorder="1" applyAlignment="1">
      <alignment horizontal="center"/>
    </xf>
    <xf numFmtId="0" fontId="15" fillId="0" borderId="0" xfId="0" applyFont="1"/>
    <xf numFmtId="1" fontId="15" fillId="0" borderId="0" xfId="0" applyNumberFormat="1" applyFont="1"/>
    <xf numFmtId="164" fontId="15" fillId="0" borderId="0" xfId="2" applyNumberFormat="1" applyFont="1"/>
    <xf numFmtId="4" fontId="15" fillId="0" borderId="0" xfId="0" applyNumberFormat="1" applyFont="1"/>
    <xf numFmtId="164" fontId="15" fillId="0" borderId="0" xfId="0" applyNumberFormat="1" applyFont="1"/>
    <xf numFmtId="171" fontId="0" fillId="0" borderId="0" xfId="0" applyNumberFormat="1"/>
    <xf numFmtId="0" fontId="0" fillId="6" borderId="0" xfId="0" applyFill="1"/>
    <xf numFmtId="0" fontId="4" fillId="6" borderId="0" xfId="0" applyFont="1" applyFill="1"/>
    <xf numFmtId="171" fontId="0" fillId="6" borderId="0" xfId="0" applyNumberFormat="1" applyFill="1"/>
    <xf numFmtId="0" fontId="5" fillId="0" borderId="0" xfId="0" applyFont="1" applyAlignment="1">
      <alignment horizontal="center"/>
    </xf>
    <xf numFmtId="0" fontId="5" fillId="0" borderId="16" xfId="0" applyFont="1" applyBorder="1" applyAlignment="1">
      <alignment horizontal="center" wrapText="1"/>
    </xf>
    <xf numFmtId="0" fontId="5" fillId="0" borderId="16" xfId="0" applyFont="1" applyBorder="1" applyAlignment="1">
      <alignment horizontal="center"/>
    </xf>
    <xf numFmtId="0" fontId="5" fillId="0" borderId="0" xfId="0" applyFont="1"/>
    <xf numFmtId="171" fontId="4" fillId="6" borderId="0" xfId="0" applyNumberFormat="1" applyFont="1" applyFill="1"/>
    <xf numFmtId="0" fontId="4" fillId="6" borderId="1" xfId="0" applyFont="1" applyFill="1" applyBorder="1"/>
    <xf numFmtId="170" fontId="0" fillId="0" borderId="3" xfId="0" applyNumberFormat="1" applyBorder="1"/>
    <xf numFmtId="2" fontId="4" fillId="6" borderId="1" xfId="0" applyNumberFormat="1" applyFont="1" applyFill="1" applyBorder="1"/>
    <xf numFmtId="0" fontId="4" fillId="6" borderId="11" xfId="0" applyFont="1" applyFill="1" applyBorder="1"/>
    <xf numFmtId="0" fontId="4" fillId="6" borderId="1" xfId="0" applyFont="1" applyFill="1" applyBorder="1" applyAlignment="1">
      <alignment horizontal="center"/>
    </xf>
    <xf numFmtId="1" fontId="16" fillId="6" borderId="1" xfId="0" applyNumberFormat="1" applyFont="1" applyFill="1" applyBorder="1"/>
    <xf numFmtId="170" fontId="16" fillId="6" borderId="1" xfId="2" applyNumberFormat="1" applyFont="1" applyFill="1" applyBorder="1"/>
    <xf numFmtId="164" fontId="7" fillId="6" borderId="1" xfId="2" applyNumberFormat="1" applyFont="1" applyFill="1" applyBorder="1"/>
    <xf numFmtId="164" fontId="16" fillId="6" borderId="1" xfId="2" applyNumberFormat="1" applyFont="1" applyFill="1" applyBorder="1"/>
    <xf numFmtId="164" fontId="16" fillId="6" borderId="1" xfId="0" applyNumberFormat="1" applyFont="1" applyFill="1" applyBorder="1"/>
    <xf numFmtId="171" fontId="4" fillId="6" borderId="1" xfId="0" applyNumberFormat="1" applyFont="1" applyFill="1" applyBorder="1"/>
    <xf numFmtId="171" fontId="4" fillId="6" borderId="12" xfId="0" applyNumberFormat="1" applyFont="1" applyFill="1" applyBorder="1"/>
    <xf numFmtId="0" fontId="10" fillId="4" borderId="0" xfId="0" applyFont="1" applyFill="1" applyAlignment="1">
      <alignment horizontal="center"/>
    </xf>
    <xf numFmtId="0" fontId="10" fillId="2" borderId="0" xfId="0" applyFont="1" applyFill="1" applyAlignment="1">
      <alignment horizontal="center"/>
    </xf>
    <xf numFmtId="0" fontId="14" fillId="5" borderId="0" xfId="0" applyFont="1" applyFill="1" applyAlignment="1">
      <alignment horizontal="center"/>
    </xf>
    <xf numFmtId="0" fontId="3" fillId="5" borderId="17" xfId="0" applyFont="1" applyFill="1" applyBorder="1" applyAlignment="1">
      <alignment horizontal="center"/>
    </xf>
  </cellXfs>
  <cellStyles count="4">
    <cellStyle name="Comma" xfId="2" builtinId="3"/>
    <cellStyle name="Currency" xfId="3" builtinId="4"/>
    <cellStyle name="Normal" xfId="0" builtinId="0"/>
    <cellStyle name="Percent" xfId="1" builtinId="5"/>
  </cellStyles>
  <dxfs count="0"/>
  <tableStyles count="0" defaultTableStyle="TableStyleMedium2" defaultPivotStyle="PivotStyleLight16"/>
  <colors>
    <mruColors>
      <color rgb="FF060684"/>
      <color rgb="FF0A0A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2E15-BCF8-421E-AB0C-8475FE625BEF}">
  <dimension ref="A1:L58"/>
  <sheetViews>
    <sheetView showGridLines="0" tabSelected="1" zoomScale="80" zoomScaleNormal="80" workbookViewId="0">
      <pane ySplit="5" topLeftCell="A6" activePane="bottomLeft" state="frozen"/>
      <selection pane="bottomLeft" activeCell="E44" sqref="E44"/>
    </sheetView>
  </sheetViews>
  <sheetFormatPr defaultRowHeight="15" x14ac:dyDescent="0.25"/>
  <cols>
    <col min="1" max="1" width="71.5703125" bestFit="1" customWidth="1"/>
    <col min="2" max="4" width="10.5703125" style="11" bestFit="1" customWidth="1"/>
    <col min="5" max="9" width="10.5703125" bestFit="1" customWidth="1"/>
    <col min="12" max="12" width="10.5703125" bestFit="1" customWidth="1"/>
  </cols>
  <sheetData>
    <row r="1" spans="1:12" x14ac:dyDescent="0.25">
      <c r="A1" s="7" t="s">
        <v>75</v>
      </c>
    </row>
    <row r="2" spans="1:12" x14ac:dyDescent="0.25">
      <c r="A2" s="7" t="s">
        <v>74</v>
      </c>
    </row>
    <row r="3" spans="1:12" x14ac:dyDescent="0.25">
      <c r="A3" s="2" t="s">
        <v>76</v>
      </c>
    </row>
    <row r="4" spans="1:12" x14ac:dyDescent="0.25">
      <c r="A4" s="18"/>
      <c r="B4" s="22">
        <v>2023</v>
      </c>
      <c r="C4" s="22">
        <v>2024</v>
      </c>
      <c r="D4" s="22">
        <v>2025</v>
      </c>
      <c r="E4" s="21">
        <f>D4+1</f>
        <v>2026</v>
      </c>
      <c r="F4" s="21">
        <f t="shared" ref="F4:I4" si="0">E4+1</f>
        <v>2027</v>
      </c>
      <c r="G4" s="21">
        <f t="shared" si="0"/>
        <v>2028</v>
      </c>
      <c r="H4" s="21">
        <f t="shared" si="0"/>
        <v>2029</v>
      </c>
      <c r="I4" s="21">
        <f t="shared" si="0"/>
        <v>2030</v>
      </c>
      <c r="J4" s="19"/>
    </row>
    <row r="5" spans="1:12" x14ac:dyDescent="0.25">
      <c r="A5" s="18"/>
      <c r="B5" s="22"/>
      <c r="C5" s="22"/>
      <c r="D5" s="22"/>
      <c r="E5" s="21"/>
      <c r="F5" s="21"/>
      <c r="G5" s="21"/>
      <c r="H5" s="21"/>
      <c r="I5" s="21"/>
      <c r="J5" s="19"/>
    </row>
    <row r="6" spans="1:12" x14ac:dyDescent="0.25">
      <c r="A6" s="2" t="s">
        <v>77</v>
      </c>
      <c r="B6" s="17"/>
      <c r="C6" s="17"/>
      <c r="D6" s="17"/>
    </row>
    <row r="7" spans="1:12" x14ac:dyDescent="0.25">
      <c r="A7" s="7" t="s">
        <v>91</v>
      </c>
      <c r="B7" s="12">
        <v>39290</v>
      </c>
      <c r="C7" s="12">
        <v>41033</v>
      </c>
      <c r="D7" s="12">
        <v>41954</v>
      </c>
      <c r="E7" s="15">
        <v>44000</v>
      </c>
      <c r="F7" s="15">
        <f>E7*(1+F8)</f>
        <v>45980</v>
      </c>
      <c r="G7" s="15">
        <f t="shared" ref="G7:I7" si="1">F7*(1+G8)</f>
        <v>48049.1</v>
      </c>
      <c r="H7" s="15">
        <f t="shared" si="1"/>
        <v>50211.309499999996</v>
      </c>
      <c r="I7" s="15">
        <f t="shared" si="1"/>
        <v>52470.818427499995</v>
      </c>
    </row>
    <row r="8" spans="1:12" x14ac:dyDescent="0.25">
      <c r="A8" s="20" t="s">
        <v>87</v>
      </c>
      <c r="B8" s="10"/>
      <c r="C8" s="30">
        <f>C7/B7-1</f>
        <v>4.4362433189106598E-2</v>
      </c>
      <c r="D8" s="30">
        <f>D7/C7-1</f>
        <v>2.2445348865547166E-2</v>
      </c>
      <c r="E8" s="31">
        <f>E7/D7-1</f>
        <v>4.8767697954902989E-2</v>
      </c>
      <c r="F8" s="32">
        <v>4.4999999999999998E-2</v>
      </c>
      <c r="G8" s="32">
        <v>4.4999999999999998E-2</v>
      </c>
      <c r="H8" s="32">
        <v>4.4999999999999998E-2</v>
      </c>
      <c r="I8" s="32">
        <v>4.4999999999999998E-2</v>
      </c>
      <c r="K8" s="14"/>
      <c r="L8" s="14"/>
    </row>
    <row r="9" spans="1:12" x14ac:dyDescent="0.25">
      <c r="A9" s="20"/>
      <c r="B9" s="10"/>
      <c r="C9" s="24"/>
      <c r="D9" s="24"/>
      <c r="G9" s="6"/>
    </row>
    <row r="10" spans="1:12" x14ac:dyDescent="0.25">
      <c r="A10" s="26" t="s">
        <v>73</v>
      </c>
      <c r="B10" s="10"/>
      <c r="C10" s="24"/>
      <c r="D10" s="24"/>
      <c r="G10" s="6"/>
    </row>
    <row r="11" spans="1:12" x14ac:dyDescent="0.25">
      <c r="A11" s="2" t="s">
        <v>89</v>
      </c>
      <c r="B11" s="8">
        <v>31555</v>
      </c>
      <c r="C11" s="8">
        <v>31494</v>
      </c>
      <c r="D11" s="8">
        <v>32437</v>
      </c>
      <c r="E11" s="11">
        <f>E7*E12</f>
        <v>34375.960024188033</v>
      </c>
      <c r="F11" s="11">
        <f t="shared" ref="F11:I11" si="2">F7*F12</f>
        <v>35922.878225276501</v>
      </c>
      <c r="G11" s="11">
        <f t="shared" si="2"/>
        <v>37539.407745413941</v>
      </c>
      <c r="H11" s="11">
        <f t="shared" si="2"/>
        <v>39228.681093957566</v>
      </c>
      <c r="I11" s="11">
        <f t="shared" si="2"/>
        <v>40993.971743185655</v>
      </c>
    </row>
    <row r="12" spans="1:12" x14ac:dyDescent="0.25">
      <c r="A12" s="20" t="s">
        <v>88</v>
      </c>
      <c r="B12" s="28">
        <f>B11/B7</f>
        <v>0.80313056757444645</v>
      </c>
      <c r="C12" s="28">
        <f t="shared" ref="C12:D12" si="3">C11/C7</f>
        <v>0.7675285745619379</v>
      </c>
      <c r="D12" s="28">
        <f t="shared" si="3"/>
        <v>0.77315631405825425</v>
      </c>
      <c r="E12" s="29">
        <f>AVERAGE($B$12:$D$12)</f>
        <v>0.78127181873154627</v>
      </c>
      <c r="F12" s="29">
        <f t="shared" ref="F12:I12" si="4">AVERAGE($B$12:$D$12)</f>
        <v>0.78127181873154627</v>
      </c>
      <c r="G12" s="29">
        <f t="shared" si="4"/>
        <v>0.78127181873154627</v>
      </c>
      <c r="H12" s="29">
        <f t="shared" si="4"/>
        <v>0.78127181873154627</v>
      </c>
      <c r="I12" s="29">
        <f t="shared" si="4"/>
        <v>0.78127181873154627</v>
      </c>
    </row>
    <row r="13" spans="1:12" x14ac:dyDescent="0.25">
      <c r="A13" s="7" t="s">
        <v>78</v>
      </c>
      <c r="B13" s="16">
        <f>B7-B11</f>
        <v>7735</v>
      </c>
      <c r="C13" s="16">
        <f>C7-C11</f>
        <v>9539</v>
      </c>
      <c r="D13" s="16">
        <f>D7-D11</f>
        <v>9517</v>
      </c>
      <c r="E13" s="15">
        <f>E7-E11</f>
        <v>9624.0399758119675</v>
      </c>
      <c r="F13" s="15">
        <f t="shared" ref="F13:I13" si="5">F7-F11</f>
        <v>10057.121774723499</v>
      </c>
      <c r="G13" s="15">
        <f t="shared" si="5"/>
        <v>10509.692254586058</v>
      </c>
      <c r="H13" s="15">
        <f t="shared" si="5"/>
        <v>10982.62840604243</v>
      </c>
      <c r="I13" s="15">
        <f t="shared" si="5"/>
        <v>11476.84668431434</v>
      </c>
    </row>
    <row r="14" spans="1:12" x14ac:dyDescent="0.25">
      <c r="A14" s="20" t="s">
        <v>90</v>
      </c>
      <c r="B14" s="28">
        <f>B13/B7</f>
        <v>0.19686943242555358</v>
      </c>
      <c r="C14" s="28">
        <f t="shared" ref="C14:D14" si="6">C13/C7</f>
        <v>0.23247142543806204</v>
      </c>
      <c r="D14" s="28">
        <f t="shared" si="6"/>
        <v>0.22684368594174573</v>
      </c>
      <c r="E14" s="28">
        <f t="shared" ref="E14" si="7">E13/E7</f>
        <v>0.21872818126845381</v>
      </c>
      <c r="F14" s="28">
        <f t="shared" ref="F14" si="8">F13/F7</f>
        <v>0.21872818126845364</v>
      </c>
      <c r="G14" s="28">
        <f t="shared" ref="G14" si="9">G13/G7</f>
        <v>0.2187281812684537</v>
      </c>
      <c r="H14" s="28">
        <f t="shared" ref="H14" si="10">H13/H7</f>
        <v>0.21872818126845367</v>
      </c>
      <c r="I14" s="28">
        <f t="shared" ref="I14" si="11">I13/I7</f>
        <v>0.2187281812684537</v>
      </c>
    </row>
    <row r="15" spans="1:12" x14ac:dyDescent="0.25">
      <c r="B15" s="8"/>
      <c r="C15" s="8"/>
      <c r="D15" s="8"/>
    </row>
    <row r="16" spans="1:12" x14ac:dyDescent="0.25">
      <c r="A16" t="s">
        <v>3</v>
      </c>
      <c r="B16" s="8">
        <v>3860</v>
      </c>
      <c r="C16" s="8">
        <v>3799</v>
      </c>
      <c r="D16" s="8">
        <v>3765</v>
      </c>
      <c r="E16" s="11">
        <f>E7*E17</f>
        <v>4115.0118643553469</v>
      </c>
      <c r="F16" s="11">
        <f t="shared" ref="F16:I16" si="12">F7*F17</f>
        <v>4300.187398251338</v>
      </c>
      <c r="G16" s="11">
        <f t="shared" si="12"/>
        <v>4493.6958311726476</v>
      </c>
      <c r="H16" s="11">
        <f t="shared" si="12"/>
        <v>4695.9121435754168</v>
      </c>
      <c r="I16" s="11">
        <f t="shared" si="12"/>
        <v>4907.2281900363105</v>
      </c>
    </row>
    <row r="17" spans="1:9" x14ac:dyDescent="0.25">
      <c r="A17" s="20" t="s">
        <v>92</v>
      </c>
      <c r="B17" s="28">
        <f>B16/B7</f>
        <v>9.824382794604225E-2</v>
      </c>
      <c r="C17" s="28">
        <f t="shared" ref="C17:D17" si="13">C16/C7</f>
        <v>9.2584017741817556E-2</v>
      </c>
      <c r="D17" s="28">
        <f t="shared" si="13"/>
        <v>8.9741145063641128E-2</v>
      </c>
      <c r="E17" s="29">
        <f>AVERAGE($B$17:$D$17)</f>
        <v>9.3522996917166978E-2</v>
      </c>
      <c r="F17" s="29">
        <f t="shared" ref="F17:I17" si="14">AVERAGE($B$17:$D$17)</f>
        <v>9.3522996917166978E-2</v>
      </c>
      <c r="G17" s="29">
        <f t="shared" si="14"/>
        <v>9.3522996917166978E-2</v>
      </c>
      <c r="H17" s="29">
        <f t="shared" si="14"/>
        <v>9.3522996917166978E-2</v>
      </c>
      <c r="I17" s="29">
        <f t="shared" si="14"/>
        <v>9.3522996917166978E-2</v>
      </c>
    </row>
    <row r="18" spans="1:9" x14ac:dyDescent="0.25">
      <c r="A18" s="7" t="s">
        <v>93</v>
      </c>
      <c r="B18" s="16">
        <f>B16</f>
        <v>3860</v>
      </c>
      <c r="C18" s="16">
        <f t="shared" ref="C18:I18" si="15">C16</f>
        <v>3799</v>
      </c>
      <c r="D18" s="16">
        <f t="shared" si="15"/>
        <v>3765</v>
      </c>
      <c r="E18" s="16">
        <f t="shared" si="15"/>
        <v>4115.0118643553469</v>
      </c>
      <c r="F18" s="16">
        <f t="shared" si="15"/>
        <v>4300.187398251338</v>
      </c>
      <c r="G18" s="16">
        <f t="shared" si="15"/>
        <v>4493.6958311726476</v>
      </c>
      <c r="H18" s="16">
        <f t="shared" si="15"/>
        <v>4695.9121435754168</v>
      </c>
      <c r="I18" s="16">
        <f t="shared" si="15"/>
        <v>4907.2281900363105</v>
      </c>
    </row>
    <row r="19" spans="1:9" x14ac:dyDescent="0.25">
      <c r="B19" s="8"/>
      <c r="C19" s="8"/>
      <c r="D19" s="8"/>
    </row>
    <row r="20" spans="1:9" x14ac:dyDescent="0.25">
      <c r="A20" s="7" t="s">
        <v>79</v>
      </c>
      <c r="B20" s="16">
        <f>B13-B16</f>
        <v>3875</v>
      </c>
      <c r="C20" s="16">
        <f>C13-C16</f>
        <v>5740</v>
      </c>
      <c r="D20" s="16">
        <f>D13-D16</f>
        <v>5752</v>
      </c>
      <c r="E20" s="15">
        <f>E13-E16</f>
        <v>5509.0281114566205</v>
      </c>
      <c r="F20" s="15">
        <f t="shared" ref="F20:I20" si="16">F13-F16</f>
        <v>5756.9343764721607</v>
      </c>
      <c r="G20" s="15">
        <f t="shared" si="16"/>
        <v>6015.9964234134104</v>
      </c>
      <c r="H20" s="15">
        <f t="shared" si="16"/>
        <v>6286.7162624670127</v>
      </c>
      <c r="I20" s="15">
        <f t="shared" si="16"/>
        <v>6569.6184942780292</v>
      </c>
    </row>
    <row r="21" spans="1:9" x14ac:dyDescent="0.25">
      <c r="A21" s="20" t="s">
        <v>94</v>
      </c>
      <c r="B21" s="25">
        <f>B20/B7</f>
        <v>9.8625604479511325E-2</v>
      </c>
      <c r="C21" s="25">
        <f t="shared" ref="C21:D21" si="17">C20/C7</f>
        <v>0.1398874076962445</v>
      </c>
      <c r="D21" s="25">
        <f t="shared" si="17"/>
        <v>0.13710254087810458</v>
      </c>
    </row>
    <row r="22" spans="1:9" x14ac:dyDescent="0.25">
      <c r="A22" t="s">
        <v>11</v>
      </c>
      <c r="B22" s="8">
        <v>1338</v>
      </c>
      <c r="C22" s="8">
        <v>1370</v>
      </c>
      <c r="D22" s="8">
        <v>1472</v>
      </c>
      <c r="E22" s="11">
        <f>'PPE schedule'!E11</f>
        <v>1572.3292446585153</v>
      </c>
      <c r="F22" s="11">
        <f>'PPE schedule'!F11</f>
        <v>1680.7893281233148</v>
      </c>
      <c r="G22" s="11">
        <f>'PPE schedule'!G11</f>
        <v>1794.1301153440302</v>
      </c>
      <c r="H22" s="11">
        <f>'PPE schedule'!H11</f>
        <v>1912.5712379896777</v>
      </c>
      <c r="I22" s="11">
        <f>'PPE schedule'!I11</f>
        <v>2036.3422111543794</v>
      </c>
    </row>
    <row r="23" spans="1:9" x14ac:dyDescent="0.25">
      <c r="B23" s="8"/>
      <c r="C23" s="8"/>
      <c r="D23" s="8"/>
    </row>
    <row r="24" spans="1:9" x14ac:dyDescent="0.25">
      <c r="A24" s="7" t="s">
        <v>80</v>
      </c>
      <c r="B24" s="16">
        <f>B20-B22</f>
        <v>2537</v>
      </c>
      <c r="C24" s="16">
        <f t="shared" ref="C24:D24" si="18">C20-C22</f>
        <v>4370</v>
      </c>
      <c r="D24" s="16">
        <f t="shared" si="18"/>
        <v>4280</v>
      </c>
      <c r="E24" s="16">
        <f t="shared" ref="E24:I24" si="19">E20-E22</f>
        <v>3936.698866798105</v>
      </c>
      <c r="F24" s="16">
        <f t="shared" si="19"/>
        <v>4076.1450483488461</v>
      </c>
      <c r="G24" s="16">
        <f t="shared" si="19"/>
        <v>4221.8663080693805</v>
      </c>
      <c r="H24" s="16">
        <f t="shared" si="19"/>
        <v>4374.145024477335</v>
      </c>
      <c r="I24" s="16">
        <f t="shared" si="19"/>
        <v>4533.2762831236496</v>
      </c>
    </row>
    <row r="25" spans="1:9" x14ac:dyDescent="0.25">
      <c r="A25" s="20" t="s">
        <v>95</v>
      </c>
      <c r="B25" s="25">
        <f>B24/B7</f>
        <v>6.4571137694069733E-2</v>
      </c>
      <c r="C25" s="25">
        <f t="shared" ref="C25:D25" si="20">C24/C7</f>
        <v>0.10649964662588648</v>
      </c>
      <c r="D25" s="25">
        <f t="shared" si="20"/>
        <v>0.10201649425561329</v>
      </c>
      <c r="E25" s="25">
        <f t="shared" ref="E25" si="21">E24/E7</f>
        <v>8.9470428790866016E-2</v>
      </c>
      <c r="F25" s="25">
        <f t="shared" ref="F25" si="22">F24/F7</f>
        <v>8.8650392526073207E-2</v>
      </c>
      <c r="G25" s="25">
        <f t="shared" ref="G25" si="23">G24/G7</f>
        <v>8.7865668827707091E-2</v>
      </c>
      <c r="H25" s="25">
        <f t="shared" ref="H25" si="24">H24/H7</f>
        <v>8.7114737058935604E-2</v>
      </c>
      <c r="I25" s="25">
        <f t="shared" ref="I25" si="25">I24/I7</f>
        <v>8.6396142064895945E-2</v>
      </c>
    </row>
    <row r="26" spans="1:9" x14ac:dyDescent="0.25">
      <c r="B26" s="8"/>
      <c r="C26" s="8"/>
      <c r="D26" s="8"/>
    </row>
    <row r="27" spans="1:9" x14ac:dyDescent="0.25">
      <c r="A27" t="s">
        <v>5</v>
      </c>
      <c r="B27" s="8"/>
      <c r="D27" s="11">
        <v>231</v>
      </c>
    </row>
    <row r="28" spans="1:9" x14ac:dyDescent="0.25">
      <c r="B28" s="8"/>
    </row>
    <row r="29" spans="1:9" x14ac:dyDescent="0.25">
      <c r="A29" s="2" t="s">
        <v>6</v>
      </c>
      <c r="B29" s="10"/>
      <c r="C29" s="10"/>
      <c r="D29" s="10"/>
    </row>
    <row r="30" spans="1:9" x14ac:dyDescent="0.25">
      <c r="A30" t="s">
        <v>0</v>
      </c>
      <c r="B30" s="8">
        <v>-545</v>
      </c>
      <c r="C30" s="8">
        <v>-621</v>
      </c>
      <c r="D30" s="8">
        <v>-665</v>
      </c>
      <c r="E30" s="11">
        <f>-1*'Debt schedule'!E11</f>
        <v>-642.98245614035079</v>
      </c>
      <c r="F30" s="11">
        <f>-1*'Debt schedule'!F11</f>
        <v>-642.98245614035079</v>
      </c>
      <c r="G30" s="11">
        <f>-1*'Debt schedule'!G11</f>
        <v>-642.98245614035079</v>
      </c>
      <c r="H30" s="11">
        <f>-1*'Debt schedule'!H11</f>
        <v>-642.98245614035079</v>
      </c>
      <c r="I30" s="11">
        <f>-1*'Debt schedule'!I11</f>
        <v>-642.98245614035079</v>
      </c>
    </row>
    <row r="31" spans="1:9" x14ac:dyDescent="0.25">
      <c r="B31" s="8"/>
      <c r="C31" s="8"/>
      <c r="D31" s="8"/>
    </row>
    <row r="32" spans="1:9" x14ac:dyDescent="0.25">
      <c r="A32" t="s">
        <v>8</v>
      </c>
      <c r="B32" s="8">
        <v>530</v>
      </c>
      <c r="C32" s="8">
        <v>656</v>
      </c>
      <c r="D32" s="8">
        <v>541</v>
      </c>
      <c r="E32" s="27">
        <v>665</v>
      </c>
      <c r="F32" s="27">
        <v>665</v>
      </c>
      <c r="G32" s="27">
        <v>665</v>
      </c>
      <c r="H32" s="27">
        <v>665</v>
      </c>
      <c r="I32" s="27">
        <v>665</v>
      </c>
    </row>
    <row r="33" spans="1:9" x14ac:dyDescent="0.25">
      <c r="B33" s="8"/>
      <c r="C33" s="8"/>
      <c r="D33" s="8"/>
    </row>
    <row r="34" spans="1:9" x14ac:dyDescent="0.25">
      <c r="A34" t="s">
        <v>7</v>
      </c>
      <c r="B34" s="8">
        <v>-422</v>
      </c>
      <c r="C34" s="8">
        <v>443</v>
      </c>
      <c r="D34" s="8">
        <v>527</v>
      </c>
      <c r="E34" s="8">
        <v>0</v>
      </c>
      <c r="F34" s="8">
        <v>0</v>
      </c>
      <c r="G34" s="8">
        <v>0</v>
      </c>
      <c r="H34" s="8">
        <v>0</v>
      </c>
      <c r="I34" s="8">
        <v>0</v>
      </c>
    </row>
    <row r="35" spans="1:9" x14ac:dyDescent="0.25">
      <c r="B35" s="8"/>
      <c r="C35" s="8"/>
      <c r="D35" s="8"/>
    </row>
    <row r="36" spans="1:9" x14ac:dyDescent="0.25">
      <c r="A36" t="s">
        <v>4</v>
      </c>
      <c r="B36" s="8">
        <v>246</v>
      </c>
      <c r="C36" s="8">
        <v>168</v>
      </c>
      <c r="D36" s="8">
        <v>154</v>
      </c>
      <c r="E36" s="13">
        <f>AVERAGE($B$36:$D$36)</f>
        <v>189.33333333333334</v>
      </c>
      <c r="F36" s="13">
        <f t="shared" ref="F36:I36" si="26">AVERAGE($B$36:$D$36)</f>
        <v>189.33333333333334</v>
      </c>
      <c r="G36" s="13">
        <f t="shared" si="26"/>
        <v>189.33333333333334</v>
      </c>
      <c r="H36" s="13">
        <f t="shared" si="26"/>
        <v>189.33333333333334</v>
      </c>
      <c r="I36" s="13">
        <f t="shared" si="26"/>
        <v>189.33333333333334</v>
      </c>
    </row>
    <row r="37" spans="1:9" x14ac:dyDescent="0.25">
      <c r="B37" s="8"/>
      <c r="C37" s="8"/>
      <c r="D37" s="8"/>
    </row>
    <row r="38" spans="1:9" x14ac:dyDescent="0.25">
      <c r="A38" s="7" t="s">
        <v>9</v>
      </c>
      <c r="B38" s="12">
        <f>B24+B27+B30+B32+B34+B36</f>
        <v>2346</v>
      </c>
      <c r="C38" s="12">
        <f t="shared" ref="C38:D38" si="27">C24+C27+C30+C32+C34+C36</f>
        <v>5016</v>
      </c>
      <c r="D38" s="12">
        <f t="shared" si="27"/>
        <v>5068</v>
      </c>
      <c r="E38" s="12">
        <f t="shared" ref="E38" si="28">E24+E27+E30+E32+E34+E36</f>
        <v>4148.0497439910878</v>
      </c>
      <c r="F38" s="12">
        <f t="shared" ref="F38" si="29">F24+F27+F30+F32+F34+F36</f>
        <v>4287.495925541828</v>
      </c>
      <c r="G38" s="12">
        <f t="shared" ref="G38" si="30">G24+G27+G30+G32+G34+G36</f>
        <v>4433.2171852623624</v>
      </c>
      <c r="H38" s="12">
        <f t="shared" ref="H38" si="31">H24+H27+H30+H32+H34+H36</f>
        <v>4585.4959016703169</v>
      </c>
      <c r="I38" s="12">
        <f t="shared" ref="I38" si="32">I24+I27+I30+I32+I34+I36</f>
        <v>4744.6271603166324</v>
      </c>
    </row>
    <row r="39" spans="1:9" x14ac:dyDescent="0.25">
      <c r="A39" t="s">
        <v>96</v>
      </c>
      <c r="B39" s="24">
        <f>B38/B7</f>
        <v>5.9709849834563504E-2</v>
      </c>
      <c r="C39" s="24">
        <f t="shared" ref="C39:D39" si="33">C38/C7</f>
        <v>0.12224307264884361</v>
      </c>
      <c r="D39" s="24">
        <f t="shared" si="33"/>
        <v>0.12079897030080565</v>
      </c>
      <c r="E39" s="24">
        <f t="shared" ref="E39" si="34">E38/E7</f>
        <v>9.427385781797927E-2</v>
      </c>
      <c r="F39" s="24">
        <f t="shared" ref="F39" si="35">F38/F7</f>
        <v>9.3246975327138493E-2</v>
      </c>
      <c r="G39" s="24">
        <f t="shared" ref="G39" si="36">G38/G7</f>
        <v>9.2264312656477693E-2</v>
      </c>
      <c r="H39" s="24">
        <f t="shared" ref="H39" si="37">H38/H7</f>
        <v>9.1323965603213694E-2</v>
      </c>
      <c r="I39" s="24">
        <f t="shared" ref="I39" si="38">I38/I7</f>
        <v>9.0424111963726669E-2</v>
      </c>
    </row>
    <row r="40" spans="1:9" x14ac:dyDescent="0.25">
      <c r="B40" s="10"/>
      <c r="C40" s="10"/>
      <c r="D40" s="10"/>
    </row>
    <row r="41" spans="1:9" x14ac:dyDescent="0.25">
      <c r="A41" t="s">
        <v>10</v>
      </c>
      <c r="B41" s="8">
        <v>290</v>
      </c>
      <c r="C41" s="8">
        <v>842</v>
      </c>
      <c r="D41" s="8">
        <v>886</v>
      </c>
      <c r="E41" s="13">
        <f>E38*E42</f>
        <v>705.16845647848493</v>
      </c>
      <c r="F41" s="13">
        <f t="shared" ref="F41:I41" si="39">F38*F42</f>
        <v>728.8743073421108</v>
      </c>
      <c r="G41" s="13">
        <f t="shared" si="39"/>
        <v>753.64692149460166</v>
      </c>
      <c r="H41" s="13">
        <f t="shared" si="39"/>
        <v>779.53430328395393</v>
      </c>
      <c r="I41" s="13">
        <f t="shared" si="39"/>
        <v>806.58661725382751</v>
      </c>
    </row>
    <row r="42" spans="1:9" x14ac:dyDescent="0.25">
      <c r="A42" s="20" t="s">
        <v>72</v>
      </c>
      <c r="B42" s="25">
        <f>B41/B38</f>
        <v>0.12361466325660699</v>
      </c>
      <c r="C42" s="25">
        <f t="shared" ref="C42:D42" si="40">C41/C38</f>
        <v>0.16786283891547049</v>
      </c>
      <c r="D42" s="25">
        <f t="shared" si="40"/>
        <v>0.17482241515390687</v>
      </c>
      <c r="E42" s="6">
        <v>0.17</v>
      </c>
      <c r="F42" s="6">
        <v>0.17</v>
      </c>
      <c r="G42" s="6">
        <v>0.17</v>
      </c>
      <c r="H42" s="6">
        <v>0.17</v>
      </c>
      <c r="I42" s="6">
        <v>0.17</v>
      </c>
    </row>
    <row r="43" spans="1:9" x14ac:dyDescent="0.25">
      <c r="A43" s="20"/>
      <c r="B43" s="23"/>
      <c r="C43" s="23"/>
      <c r="D43" s="23"/>
    </row>
    <row r="44" spans="1:9" x14ac:dyDescent="0.25">
      <c r="A44" s="7" t="s">
        <v>1</v>
      </c>
      <c r="B44" s="12">
        <f>B38-B41</f>
        <v>2056</v>
      </c>
      <c r="C44" s="12">
        <f t="shared" ref="C44:I44" si="41">C38-C41</f>
        <v>4174</v>
      </c>
      <c r="D44" s="12">
        <f t="shared" si="41"/>
        <v>4182</v>
      </c>
      <c r="E44" s="12">
        <f t="shared" si="41"/>
        <v>3442.8812875126027</v>
      </c>
      <c r="F44" s="12">
        <f t="shared" si="41"/>
        <v>3558.621618199717</v>
      </c>
      <c r="G44" s="12">
        <f t="shared" si="41"/>
        <v>3679.5702637677605</v>
      </c>
      <c r="H44" s="12">
        <f t="shared" si="41"/>
        <v>3805.9615983863632</v>
      </c>
      <c r="I44" s="12">
        <f t="shared" si="41"/>
        <v>3938.0405430628048</v>
      </c>
    </row>
    <row r="46" spans="1:9" x14ac:dyDescent="0.25">
      <c r="A46" t="s">
        <v>85</v>
      </c>
      <c r="B46" s="11">
        <v>25</v>
      </c>
      <c r="C46" s="11">
        <v>-24</v>
      </c>
      <c r="D46" s="11">
        <v>26</v>
      </c>
      <c r="E46" s="11">
        <v>0</v>
      </c>
      <c r="F46" s="11">
        <v>0</v>
      </c>
      <c r="G46" s="11">
        <v>0</v>
      </c>
      <c r="H46" s="11">
        <v>0</v>
      </c>
      <c r="I46" s="11">
        <v>0</v>
      </c>
    </row>
    <row r="48" spans="1:9" x14ac:dyDescent="0.25">
      <c r="A48" s="7" t="s">
        <v>86</v>
      </c>
      <c r="B48" s="15">
        <f>B44+B46</f>
        <v>2081</v>
      </c>
      <c r="C48" s="15">
        <f t="shared" ref="C48:I48" si="42">C44+C46</f>
        <v>4150</v>
      </c>
      <c r="D48" s="15">
        <f t="shared" si="42"/>
        <v>4208</v>
      </c>
      <c r="E48" s="15">
        <f t="shared" si="42"/>
        <v>3442.8812875126027</v>
      </c>
      <c r="F48" s="15">
        <f t="shared" si="42"/>
        <v>3558.621618199717</v>
      </c>
      <c r="G48" s="15">
        <f t="shared" si="42"/>
        <v>3679.5702637677605</v>
      </c>
      <c r="H48" s="15">
        <f t="shared" si="42"/>
        <v>3805.9615983863632</v>
      </c>
      <c r="I48" s="15">
        <f t="shared" si="42"/>
        <v>3938.0405430628048</v>
      </c>
    </row>
    <row r="50" spans="1:9" x14ac:dyDescent="0.25">
      <c r="A50" t="s">
        <v>81</v>
      </c>
      <c r="B50" s="33">
        <f>B44/B52</f>
        <v>13.570957095709572</v>
      </c>
      <c r="C50" s="33">
        <f t="shared" ref="C50:D50" si="43">C44/C52</f>
        <v>28.394557823129251</v>
      </c>
      <c r="D50" s="33">
        <f t="shared" si="43"/>
        <v>29.142857142857142</v>
      </c>
      <c r="E50" s="33">
        <f t="shared" ref="E50:I50" si="44">E44/E52</f>
        <v>24.357567608288811</v>
      </c>
      <c r="F50" s="33">
        <f t="shared" si="44"/>
        <v>25.179075005393074</v>
      </c>
      <c r="G50" s="33">
        <f t="shared" si="44"/>
        <v>26.037612211989032</v>
      </c>
      <c r="H50" s="33">
        <f t="shared" si="44"/>
        <v>26.934849690460975</v>
      </c>
      <c r="I50" s="33">
        <f t="shared" si="44"/>
        <v>27.872533260640914</v>
      </c>
    </row>
    <row r="51" spans="1:9" x14ac:dyDescent="0.25">
      <c r="A51" t="s">
        <v>82</v>
      </c>
      <c r="B51" s="33">
        <f>B44/B53</f>
        <v>13.526315789473685</v>
      </c>
      <c r="C51" s="33">
        <f t="shared" ref="C51:D51" si="45">C44/C53</f>
        <v>28.336727766463</v>
      </c>
      <c r="D51" s="33">
        <f t="shared" si="45"/>
        <v>29.08205841446453</v>
      </c>
      <c r="E51" s="33">
        <f t="shared" ref="E51:I51" si="46">E44/E53</f>
        <v>24.306752098674856</v>
      </c>
      <c r="F51" s="33">
        <f t="shared" si="46"/>
        <v>25.126540078231116</v>
      </c>
      <c r="G51" s="33">
        <f t="shared" si="46"/>
        <v>25.98328023393163</v>
      </c>
      <c r="H51" s="33">
        <f t="shared" si="46"/>
        <v>26.878639517410996</v>
      </c>
      <c r="I51" s="33">
        <f t="shared" si="46"/>
        <v>27.81436007898408</v>
      </c>
    </row>
    <row r="52" spans="1:9" x14ac:dyDescent="0.25">
      <c r="A52" t="s">
        <v>83</v>
      </c>
      <c r="B52" s="34">
        <v>151.5</v>
      </c>
      <c r="C52" s="34">
        <v>147</v>
      </c>
      <c r="D52" s="34">
        <v>143.5</v>
      </c>
      <c r="E52" s="14">
        <f>D52*(1-1.5%)</f>
        <v>141.3475</v>
      </c>
      <c r="F52" s="14">
        <f t="shared" ref="F52:I52" si="47">E52-1.5%</f>
        <v>141.33250000000001</v>
      </c>
      <c r="G52" s="14">
        <f t="shared" si="47"/>
        <v>141.31750000000002</v>
      </c>
      <c r="H52" s="14">
        <f t="shared" si="47"/>
        <v>141.30250000000004</v>
      </c>
      <c r="I52" s="14">
        <f t="shared" si="47"/>
        <v>141.28750000000005</v>
      </c>
    </row>
    <row r="53" spans="1:9" x14ac:dyDescent="0.25">
      <c r="A53" t="s">
        <v>84</v>
      </c>
      <c r="B53" s="34">
        <v>152</v>
      </c>
      <c r="C53" s="34">
        <v>147.30000000000001</v>
      </c>
      <c r="D53" s="34">
        <v>143.80000000000001</v>
      </c>
      <c r="E53" s="14">
        <f>D53*(1-1.5%)</f>
        <v>141.643</v>
      </c>
      <c r="F53" s="14">
        <f>E53-1.5%</f>
        <v>141.62800000000001</v>
      </c>
      <c r="G53" s="14">
        <f t="shared" ref="G53:I53" si="48">F53-1.5%</f>
        <v>141.61300000000003</v>
      </c>
      <c r="H53" s="14">
        <f t="shared" si="48"/>
        <v>141.59800000000004</v>
      </c>
      <c r="I53" s="14">
        <f t="shared" si="48"/>
        <v>141.58300000000006</v>
      </c>
    </row>
    <row r="56" spans="1:9" x14ac:dyDescent="0.25">
      <c r="C56" s="6"/>
    </row>
    <row r="57" spans="1:9" x14ac:dyDescent="0.25">
      <c r="C57" s="46"/>
    </row>
    <row r="58" spans="1:9" x14ac:dyDescent="0.25">
      <c r="C58"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90FD-D20E-4F9A-AA71-70C2B7D2002B}">
  <dimension ref="A1:J60"/>
  <sheetViews>
    <sheetView showGridLines="0" zoomScale="80" zoomScaleNormal="80" workbookViewId="0">
      <pane ySplit="5" topLeftCell="A6" activePane="bottomLeft" state="frozen"/>
      <selection pane="bottomLeft" activeCell="A17" sqref="A17:XFD17"/>
    </sheetView>
  </sheetViews>
  <sheetFormatPr defaultRowHeight="15" x14ac:dyDescent="0.25"/>
  <cols>
    <col min="1" max="1" width="70.5703125" bestFit="1" customWidth="1"/>
    <col min="2" max="4" width="10.28515625" bestFit="1" customWidth="1"/>
    <col min="5" max="9" width="9.5703125" bestFit="1" customWidth="1"/>
  </cols>
  <sheetData>
    <row r="1" spans="1:10" x14ac:dyDescent="0.25">
      <c r="A1" s="7" t="s">
        <v>75</v>
      </c>
    </row>
    <row r="2" spans="1:10" x14ac:dyDescent="0.25">
      <c r="A2" s="7" t="s">
        <v>97</v>
      </c>
    </row>
    <row r="3" spans="1:10" x14ac:dyDescent="0.25">
      <c r="A3" s="2" t="s">
        <v>2</v>
      </c>
    </row>
    <row r="4" spans="1:10" x14ac:dyDescent="0.25">
      <c r="A4" s="18"/>
      <c r="B4" s="22">
        <v>2023</v>
      </c>
      <c r="C4" s="22">
        <v>2024</v>
      </c>
      <c r="D4" s="22">
        <v>2025</v>
      </c>
      <c r="E4" s="21">
        <f>D4+1</f>
        <v>2026</v>
      </c>
      <c r="F4" s="21">
        <f t="shared" ref="F4:I4" si="0">E4+1</f>
        <v>2027</v>
      </c>
      <c r="G4" s="21">
        <f t="shared" si="0"/>
        <v>2028</v>
      </c>
      <c r="H4" s="21">
        <f t="shared" si="0"/>
        <v>2029</v>
      </c>
      <c r="I4" s="21">
        <f t="shared" si="0"/>
        <v>2030</v>
      </c>
      <c r="J4" s="19"/>
    </row>
    <row r="5" spans="1:10" x14ac:dyDescent="0.25">
      <c r="A5" s="18"/>
      <c r="B5" s="22"/>
      <c r="C5" s="22"/>
      <c r="D5" s="22"/>
      <c r="E5" s="21"/>
      <c r="F5" s="21"/>
      <c r="G5" s="21"/>
      <c r="H5" s="21"/>
      <c r="I5" s="21"/>
      <c r="J5" s="19"/>
    </row>
    <row r="6" spans="1:10" x14ac:dyDescent="0.25">
      <c r="A6" s="7" t="s">
        <v>98</v>
      </c>
      <c r="B6" s="11"/>
      <c r="C6" s="11"/>
      <c r="D6" s="11"/>
    </row>
    <row r="7" spans="1:10" x14ac:dyDescent="0.25">
      <c r="A7" t="s">
        <v>1</v>
      </c>
      <c r="B7" s="11">
        <f>'Income statement'!B44</f>
        <v>2056</v>
      </c>
      <c r="C7" s="11">
        <f>'Income statement'!C44</f>
        <v>4174</v>
      </c>
      <c r="D7" s="11">
        <f>'Income statement'!D44</f>
        <v>4182</v>
      </c>
      <c r="E7" s="11">
        <f>'Income statement'!E44</f>
        <v>3442.8812875126027</v>
      </c>
      <c r="F7" s="11">
        <f>'Income statement'!F44</f>
        <v>3558.621618199717</v>
      </c>
      <c r="G7" s="11">
        <f>'Income statement'!G44</f>
        <v>3679.5702637677605</v>
      </c>
      <c r="H7" s="11">
        <f>'Income statement'!H44</f>
        <v>3805.9615983863632</v>
      </c>
      <c r="I7" s="11">
        <f>'Income statement'!I44</f>
        <v>3938.0405430628048</v>
      </c>
    </row>
    <row r="8" spans="1:10" ht="30" x14ac:dyDescent="0.25">
      <c r="A8" s="35" t="s">
        <v>101</v>
      </c>
      <c r="B8" s="11"/>
      <c r="C8" s="11"/>
      <c r="D8" s="11"/>
      <c r="E8" s="11"/>
      <c r="F8" s="11"/>
      <c r="G8" s="11"/>
      <c r="H8" s="11"/>
      <c r="I8" s="11"/>
    </row>
    <row r="9" spans="1:10" x14ac:dyDescent="0.25">
      <c r="B9" s="11"/>
      <c r="C9" s="11"/>
      <c r="D9" s="11"/>
      <c r="E9" s="11"/>
      <c r="F9" s="11"/>
      <c r="G9" s="11"/>
      <c r="H9" s="11"/>
      <c r="I9" s="11"/>
    </row>
    <row r="10" spans="1:10" x14ac:dyDescent="0.25">
      <c r="A10" t="s">
        <v>11</v>
      </c>
      <c r="B10" s="8">
        <v>1338</v>
      </c>
      <c r="C10" s="8">
        <v>1370</v>
      </c>
      <c r="D10" s="8">
        <v>1472</v>
      </c>
      <c r="E10" s="11">
        <f>'PPE schedule'!E11</f>
        <v>1572.3292446585153</v>
      </c>
      <c r="F10" s="11">
        <f>'PPE schedule'!F11</f>
        <v>1680.7893281233148</v>
      </c>
      <c r="G10" s="11">
        <f>'PPE schedule'!G11</f>
        <v>1794.1301153440302</v>
      </c>
      <c r="H10" s="11">
        <f>'PPE schedule'!H11</f>
        <v>1912.5712379896777</v>
      </c>
      <c r="I10" s="11">
        <f>'PPE schedule'!I11</f>
        <v>2036.3422111543794</v>
      </c>
    </row>
    <row r="11" spans="1:10" x14ac:dyDescent="0.25">
      <c r="A11" t="s">
        <v>12</v>
      </c>
      <c r="B11" s="8">
        <v>87</v>
      </c>
      <c r="C11" s="8">
        <v>101</v>
      </c>
      <c r="D11" s="8">
        <v>119</v>
      </c>
      <c r="E11" s="11">
        <f>'Income statement'!E7*'Cash Flow statement'!E12</f>
        <v>110.17860017806595</v>
      </c>
      <c r="F11" s="11">
        <f>'Income statement'!F7*'Cash Flow statement'!F12</f>
        <v>115.13663718607891</v>
      </c>
      <c r="G11" s="11">
        <f>'Income statement'!G7*'Cash Flow statement'!G12</f>
        <v>120.31778585945246</v>
      </c>
      <c r="H11" s="11">
        <f>'Income statement'!H7*'Cash Flow statement'!H12</f>
        <v>125.73208622312781</v>
      </c>
      <c r="I11" s="11">
        <f>'Income statement'!I7*'Cash Flow statement'!I12</f>
        <v>131.39003010316856</v>
      </c>
    </row>
    <row r="12" spans="1:10" x14ac:dyDescent="0.25">
      <c r="A12" s="20" t="s">
        <v>102</v>
      </c>
      <c r="B12" s="28">
        <f>B11/'Income statement'!B7</f>
        <v>2.2143038941206412E-3</v>
      </c>
      <c r="C12" s="28">
        <f>C11/'Income statement'!C7</f>
        <v>2.4614334803694589E-3</v>
      </c>
      <c r="D12" s="28">
        <f>D11/'Income statement'!D7</f>
        <v>2.836439910378033E-3</v>
      </c>
      <c r="E12" s="29">
        <f>AVERAGE($B$12:$D$12)</f>
        <v>2.5040590949560442E-3</v>
      </c>
      <c r="F12" s="29">
        <f t="shared" ref="F12:I12" si="1">AVERAGE($B$12:$D$12)</f>
        <v>2.5040590949560442E-3</v>
      </c>
      <c r="G12" s="29">
        <f t="shared" si="1"/>
        <v>2.5040590949560442E-3</v>
      </c>
      <c r="H12" s="29">
        <f t="shared" si="1"/>
        <v>2.5040590949560442E-3</v>
      </c>
      <c r="I12" s="29">
        <f t="shared" si="1"/>
        <v>2.5040590949560442E-3</v>
      </c>
    </row>
    <row r="13" spans="1:10" x14ac:dyDescent="0.25">
      <c r="A13" t="s">
        <v>103</v>
      </c>
      <c r="B13" s="8">
        <v>-988</v>
      </c>
      <c r="C13" s="8">
        <v>-582</v>
      </c>
      <c r="D13" s="8">
        <v>548</v>
      </c>
      <c r="E13" s="11"/>
      <c r="F13" s="11"/>
      <c r="G13" s="11"/>
      <c r="H13" s="11"/>
      <c r="I13" s="11"/>
    </row>
    <row r="14" spans="1:10" x14ac:dyDescent="0.25">
      <c r="A14" t="s">
        <v>19</v>
      </c>
      <c r="B14" s="8">
        <v>1559</v>
      </c>
      <c r="C14" s="8"/>
      <c r="D14" s="8">
        <v>477</v>
      </c>
      <c r="E14" s="11">
        <v>0</v>
      </c>
      <c r="F14" s="11">
        <v>0</v>
      </c>
      <c r="G14" s="11">
        <v>0</v>
      </c>
      <c r="H14" s="11">
        <v>0</v>
      </c>
      <c r="I14" s="11">
        <v>0</v>
      </c>
    </row>
    <row r="15" spans="1:10" x14ac:dyDescent="0.25">
      <c r="A15" t="s">
        <v>5</v>
      </c>
      <c r="B15" s="8"/>
      <c r="C15" s="8"/>
      <c r="D15" s="8">
        <v>-231</v>
      </c>
      <c r="E15" s="11"/>
      <c r="F15" s="11"/>
      <c r="G15" s="11"/>
      <c r="H15" s="11"/>
      <c r="I15" s="11"/>
    </row>
    <row r="16" spans="1:10" x14ac:dyDescent="0.25">
      <c r="A16" t="s">
        <v>20</v>
      </c>
      <c r="B16" s="8">
        <v>422</v>
      </c>
      <c r="C16" s="8">
        <v>-443</v>
      </c>
      <c r="D16" s="8">
        <v>-527</v>
      </c>
      <c r="E16" s="8">
        <v>0</v>
      </c>
      <c r="F16" s="8">
        <v>0</v>
      </c>
      <c r="G16" s="8">
        <v>0</v>
      </c>
      <c r="H16" s="8">
        <v>0</v>
      </c>
      <c r="I16" s="8">
        <v>0</v>
      </c>
    </row>
    <row r="17" spans="1:9" x14ac:dyDescent="0.25">
      <c r="A17" t="s">
        <v>21</v>
      </c>
      <c r="B17" s="8">
        <v>-308</v>
      </c>
      <c r="C17" s="8">
        <v>-438</v>
      </c>
      <c r="D17" s="8">
        <v>-346</v>
      </c>
      <c r="E17" s="11">
        <f>AVERAGE($B$17:$D$17)</f>
        <v>-364</v>
      </c>
      <c r="F17" s="11">
        <f t="shared" ref="F17:I17" si="2">AVERAGE($B$17:$D$17)</f>
        <v>-364</v>
      </c>
      <c r="G17" s="11">
        <f t="shared" si="2"/>
        <v>-364</v>
      </c>
      <c r="H17" s="11">
        <f t="shared" si="2"/>
        <v>-364</v>
      </c>
      <c r="I17" s="11">
        <f t="shared" si="2"/>
        <v>-364</v>
      </c>
    </row>
    <row r="18" spans="1:9" x14ac:dyDescent="0.25">
      <c r="A18" t="s">
        <v>22</v>
      </c>
      <c r="B18" s="8">
        <v>-139</v>
      </c>
      <c r="C18" s="8">
        <v>-129</v>
      </c>
      <c r="D18" s="8">
        <v>-130</v>
      </c>
      <c r="E18" s="11">
        <v>-131</v>
      </c>
      <c r="F18" s="11">
        <v>-131</v>
      </c>
      <c r="G18" s="11">
        <v>-131</v>
      </c>
      <c r="H18" s="11">
        <v>-131</v>
      </c>
      <c r="I18" s="11">
        <v>-131</v>
      </c>
    </row>
    <row r="19" spans="1:9" x14ac:dyDescent="0.25">
      <c r="A19" t="s">
        <v>29</v>
      </c>
      <c r="B19" s="8"/>
      <c r="C19" s="8"/>
      <c r="D19" s="8"/>
      <c r="E19" s="11"/>
      <c r="F19" s="11"/>
      <c r="G19" s="11"/>
      <c r="H19" s="11"/>
      <c r="I19" s="11"/>
    </row>
    <row r="20" spans="1:9" x14ac:dyDescent="0.25">
      <c r="A20" s="4" t="s">
        <v>23</v>
      </c>
      <c r="B20" s="8">
        <v>54</v>
      </c>
      <c r="C20" s="8">
        <v>182</v>
      </c>
      <c r="D20" s="8">
        <v>-108</v>
      </c>
      <c r="E20" s="11">
        <f>-('Working capital schedule'!E7-'Working capital schedule'!D7)</f>
        <v>-140.47907336015896</v>
      </c>
      <c r="F20" s="11">
        <f>-('Working capital schedule'!F7-'Working capital schedule'!E7)</f>
        <v>-68.196558301207233</v>
      </c>
      <c r="G20" s="11">
        <f>-('Working capital schedule'!G7-'Working capital schedule'!F7)</f>
        <v>-71.265403424761416</v>
      </c>
      <c r="H20" s="11">
        <f>-('Working capital schedule'!H7-'Working capital schedule'!G7)</f>
        <v>-74.472346578875658</v>
      </c>
      <c r="I20" s="11">
        <f>-('Working capital schedule'!I7-'Working capital schedule'!H7)</f>
        <v>-77.823602174925099</v>
      </c>
    </row>
    <row r="21" spans="1:9" x14ac:dyDescent="0.25">
      <c r="A21" s="4" t="s">
        <v>24</v>
      </c>
      <c r="B21" s="8">
        <v>247</v>
      </c>
      <c r="C21" s="8">
        <v>-215</v>
      </c>
      <c r="D21" s="8">
        <v>-754</v>
      </c>
      <c r="E21" s="11">
        <f>'Working capital schedule'!D9-'Working capital schedule'!E9</f>
        <v>19.402021719048207</v>
      </c>
      <c r="F21" s="11">
        <f>'Working capital schedule'!E9-'Working capital schedule'!F9</f>
        <v>-293.60690902264196</v>
      </c>
      <c r="G21" s="11">
        <f>'Working capital schedule'!F9-'Working capital schedule'!G9</f>
        <v>-306.81921992866228</v>
      </c>
      <c r="H21" s="11">
        <f>'Working capital schedule'!G9-'Working capital schedule'!H9</f>
        <v>-320.62608482545056</v>
      </c>
      <c r="I21" s="11">
        <f>'Working capital schedule'!H9-'Working capital schedule'!I9</f>
        <v>-335.05425864259723</v>
      </c>
    </row>
    <row r="22" spans="1:9" x14ac:dyDescent="0.25">
      <c r="A22" s="4" t="s">
        <v>25</v>
      </c>
      <c r="B22" s="8">
        <v>-220</v>
      </c>
      <c r="C22" s="8">
        <v>-358</v>
      </c>
      <c r="D22" s="8">
        <v>97</v>
      </c>
      <c r="E22" s="11">
        <f>'Working capital schedule'!D5-'Working capital schedule'!E5</f>
        <v>-82.663023173916145</v>
      </c>
      <c r="F22" s="11">
        <f>'Working capital schedule'!E5-'Working capital schedule'!F5</f>
        <v>-62.624836042826246</v>
      </c>
      <c r="G22" s="11">
        <f>'Working capital schedule'!F5-'Working capital schedule'!G5</f>
        <v>-65.442953664753304</v>
      </c>
      <c r="H22" s="11">
        <f>'Working capital schedule'!G5-'Working capital schedule'!H5</f>
        <v>-68.387886579667338</v>
      </c>
      <c r="I22" s="11">
        <f>'Working capital schedule'!H5-'Working capital schedule'!I5</f>
        <v>-71.465341475752211</v>
      </c>
    </row>
    <row r="23" spans="1:9" x14ac:dyDescent="0.25">
      <c r="A23" s="4" t="s">
        <v>26</v>
      </c>
      <c r="B23" s="8">
        <v>-86</v>
      </c>
      <c r="C23" s="8">
        <v>35</v>
      </c>
      <c r="D23" s="8">
        <v>8</v>
      </c>
      <c r="E23" s="11">
        <f>'Working capital schedule'!D11-'Working capital schedule'!E11</f>
        <v>-256.46031848930306</v>
      </c>
      <c r="F23" s="11">
        <f>'Working capital schedule'!E11-'Working capital schedule'!F11</f>
        <v>-86.060714332018506</v>
      </c>
      <c r="G23" s="11">
        <f>'Working capital schedule'!F11-'Working capital schedule'!G11</f>
        <v>-89.933446476959489</v>
      </c>
      <c r="H23" s="11">
        <f>'Working capital schedule'!G11-'Working capital schedule'!H11</f>
        <v>-93.980451568422268</v>
      </c>
      <c r="I23" s="11">
        <f>'Working capital schedule'!H11-'Working capital schedule'!I11</f>
        <v>-98.209571889001836</v>
      </c>
    </row>
    <row r="24" spans="1:9" x14ac:dyDescent="0.25">
      <c r="A24" s="4" t="s">
        <v>136</v>
      </c>
      <c r="B24" s="8">
        <v>-469</v>
      </c>
      <c r="C24" s="8">
        <v>485</v>
      </c>
      <c r="D24" s="8">
        <v>646</v>
      </c>
      <c r="E24" s="11">
        <f>'Working capital schedule'!E16-'Working capital schedule'!D16</f>
        <v>-383.62170121857616</v>
      </c>
      <c r="F24" s="11">
        <f>'Working capital schedule'!F16-'Working capital schedule'!E16</f>
        <v>128.53702344516478</v>
      </c>
      <c r="G24" s="11">
        <f>'Working capital schedule'!G16-'Working capital schedule'!F16</f>
        <v>134.32118950019594</v>
      </c>
      <c r="H24" s="11">
        <f>'Working capital schedule'!H16-'Working capital schedule'!G16</f>
        <v>140.36564302770512</v>
      </c>
      <c r="I24" s="11">
        <f>'Working capital schedule'!I16-'Working capital schedule'!H16</f>
        <v>146.68209696395206</v>
      </c>
    </row>
    <row r="25" spans="1:9" x14ac:dyDescent="0.25">
      <c r="A25" s="4" t="s">
        <v>137</v>
      </c>
      <c r="B25" s="8">
        <v>587</v>
      </c>
      <c r="C25" s="8">
        <v>-123</v>
      </c>
      <c r="D25" s="8">
        <v>19</v>
      </c>
      <c r="E25" s="11">
        <f>'Working capital schedule'!E20-'Working capital schedule'!D20</f>
        <v>362.40157215228828</v>
      </c>
      <c r="F25" s="11">
        <f>'Working capital schedule'!F20-'Working capital schedule'!E20</f>
        <v>200.17807074685334</v>
      </c>
      <c r="G25" s="11">
        <f>'Working capital schedule'!G20-'Working capital schedule'!F20</f>
        <v>209.18608393046088</v>
      </c>
      <c r="H25" s="11">
        <f>'Working capital schedule'!H20-'Working capital schedule'!G20</f>
        <v>218.59945770733157</v>
      </c>
      <c r="I25" s="11">
        <f>'Working capital schedule'!I20-'Working capital schedule'!H20</f>
        <v>228.43643330416216</v>
      </c>
    </row>
    <row r="26" spans="1:9" x14ac:dyDescent="0.25">
      <c r="A26" s="4" t="s">
        <v>133</v>
      </c>
      <c r="B26" s="8">
        <v>401</v>
      </c>
      <c r="C26" s="8">
        <v>-875</v>
      </c>
      <c r="D26" s="8">
        <v>-212</v>
      </c>
      <c r="E26" s="11">
        <f>'Working capital schedule'!E24-'Working capital schedule'!D24</f>
        <v>87</v>
      </c>
      <c r="F26" s="11">
        <f>'Working capital schedule'!F24-'Working capital schedule'!E24</f>
        <v>0</v>
      </c>
      <c r="G26" s="11">
        <f>'Working capital schedule'!G24-'Working capital schedule'!F24</f>
        <v>0</v>
      </c>
      <c r="H26" s="11">
        <f>'Working capital schedule'!H24-'Working capital schedule'!G24</f>
        <v>0</v>
      </c>
      <c r="I26" s="11">
        <f>'Working capital schedule'!I24-'Working capital schedule'!H24</f>
        <v>0</v>
      </c>
    </row>
    <row r="27" spans="1:9" x14ac:dyDescent="0.25">
      <c r="A27" s="4" t="s">
        <v>28</v>
      </c>
      <c r="B27" s="8">
        <v>-658</v>
      </c>
      <c r="C27" s="8">
        <v>1143</v>
      </c>
      <c r="D27" s="8">
        <v>-559</v>
      </c>
      <c r="E27" s="11">
        <f>'Working capital schedule'!E22-'Working capital schedule'!D22</f>
        <v>534.33333333333337</v>
      </c>
      <c r="F27" s="11">
        <f>'Working capital schedule'!F22-'Working capital schedule'!E22</f>
        <v>0</v>
      </c>
      <c r="G27" s="11">
        <f>'Working capital schedule'!G22-'Working capital schedule'!F22</f>
        <v>0</v>
      </c>
      <c r="H27" s="11">
        <f>'Working capital schedule'!H22-'Working capital schedule'!G22</f>
        <v>0</v>
      </c>
      <c r="I27" s="11">
        <f>'Working capital schedule'!I22-'Working capital schedule'!H22</f>
        <v>0</v>
      </c>
    </row>
    <row r="28" spans="1:9" x14ac:dyDescent="0.25">
      <c r="A28" t="s">
        <v>30</v>
      </c>
      <c r="B28" s="8">
        <v>-8</v>
      </c>
      <c r="C28" s="8">
        <v>61</v>
      </c>
      <c r="D28" s="8">
        <v>56</v>
      </c>
      <c r="E28" s="11">
        <v>0</v>
      </c>
      <c r="F28" s="11">
        <v>0</v>
      </c>
      <c r="G28" s="11">
        <v>0</v>
      </c>
      <c r="H28" s="11">
        <v>0</v>
      </c>
      <c r="I28" s="11">
        <v>0</v>
      </c>
    </row>
    <row r="29" spans="1:9" x14ac:dyDescent="0.25">
      <c r="A29" s="7" t="s">
        <v>13</v>
      </c>
      <c r="B29" s="12">
        <f>B7+B10+B11+B13+B14+B15+B16+B17+B18+B20+B21+B22+B23+B24+B25+B26+B27+B28</f>
        <v>3875</v>
      </c>
      <c r="C29" s="12">
        <f>C7+C10+C11+C13+C14+C15+C16+C17+C18+C20+C21+C22+C23+C24+C25+C26+C27+C28</f>
        <v>4388</v>
      </c>
      <c r="D29" s="12">
        <f>D7+D10+D11+D13+D14+D15+D16+D17+D18+D20+D21+D22+D23+D24+D25+D26+D27+D28</f>
        <v>4757</v>
      </c>
      <c r="E29" s="12">
        <f t="shared" ref="E29:I29" si="3">E7+E10+E11+E13+E14+E15+E16+E17+E18+E20+E21+E22+E23+E24+E25+E26+E27+E28</f>
        <v>4770.301943311898</v>
      </c>
      <c r="F29" s="12">
        <f t="shared" si="3"/>
        <v>4677.7736600024346</v>
      </c>
      <c r="G29" s="12">
        <f t="shared" si="3"/>
        <v>4909.0644149067639</v>
      </c>
      <c r="H29" s="12">
        <f t="shared" si="3"/>
        <v>5150.7632537817899</v>
      </c>
      <c r="I29" s="12">
        <f t="shared" si="3"/>
        <v>5403.3385404061892</v>
      </c>
    </row>
    <row r="30" spans="1:9" x14ac:dyDescent="0.25">
      <c r="A30" s="7"/>
      <c r="B30" s="12"/>
      <c r="C30" s="12"/>
      <c r="D30" s="12"/>
      <c r="E30" s="11"/>
      <c r="F30" s="11"/>
      <c r="G30" s="11"/>
      <c r="H30" s="11"/>
      <c r="I30" s="11"/>
    </row>
    <row r="31" spans="1:9" x14ac:dyDescent="0.25">
      <c r="A31" s="7" t="s">
        <v>99</v>
      </c>
      <c r="B31" s="11"/>
      <c r="C31" s="11"/>
      <c r="D31" s="11"/>
      <c r="E31" s="11"/>
      <c r="F31" s="11"/>
      <c r="G31" s="11"/>
      <c r="H31" s="11"/>
      <c r="I31" s="11"/>
    </row>
    <row r="32" spans="1:9" x14ac:dyDescent="0.25">
      <c r="A32" t="s">
        <v>14</v>
      </c>
      <c r="B32" s="8">
        <v>-1775</v>
      </c>
      <c r="C32" s="8">
        <v>-1767</v>
      </c>
      <c r="D32" s="8">
        <v>-1450</v>
      </c>
      <c r="E32" s="11">
        <f>-'Income statement'!E7*'Cash Flow statement'!E33</f>
        <v>-1522.3999999999999</v>
      </c>
      <c r="F32" s="11">
        <f>-'Income statement'!F7*'Cash Flow statement'!F33</f>
        <v>-1590.9079999999999</v>
      </c>
      <c r="G32" s="11">
        <f>-'Income statement'!G7*'Cash Flow statement'!G33</f>
        <v>-1662.4988599999999</v>
      </c>
      <c r="H32" s="11">
        <f>-'Income statement'!H7*'Cash Flow statement'!H33</f>
        <v>-1737.3113086999997</v>
      </c>
      <c r="I32" s="11">
        <f>-'Income statement'!I7*'Cash Flow statement'!I33</f>
        <v>-1815.4903175914997</v>
      </c>
    </row>
    <row r="33" spans="1:9" x14ac:dyDescent="0.25">
      <c r="A33" s="20" t="s">
        <v>104</v>
      </c>
      <c r="B33" s="28">
        <f>-B32/'Income statement'!B7</f>
        <v>4.5176889793840672E-2</v>
      </c>
      <c r="C33" s="28">
        <f>-C32/'Income statement'!C7</f>
        <v>4.3062900592206271E-2</v>
      </c>
      <c r="D33" s="28">
        <f>-D32/'Income statement'!D7</f>
        <v>3.456166277351385E-2</v>
      </c>
      <c r="E33" s="28">
        <v>3.4599999999999999E-2</v>
      </c>
      <c r="F33" s="28">
        <v>3.4599999999999999E-2</v>
      </c>
      <c r="G33" s="28">
        <v>3.4599999999999999E-2</v>
      </c>
      <c r="H33" s="28">
        <v>3.4599999999999999E-2</v>
      </c>
      <c r="I33" s="28">
        <v>3.4599999999999999E-2</v>
      </c>
    </row>
    <row r="34" spans="1:9" x14ac:dyDescent="0.25">
      <c r="A34" t="s">
        <v>31</v>
      </c>
      <c r="B34" s="8"/>
      <c r="C34" s="8"/>
      <c r="D34" s="8">
        <v>333</v>
      </c>
      <c r="E34" s="11">
        <v>0</v>
      </c>
      <c r="F34" s="11">
        <v>0</v>
      </c>
      <c r="G34" s="11">
        <v>0</v>
      </c>
      <c r="H34" s="11">
        <v>0</v>
      </c>
      <c r="I34" s="11">
        <v>0</v>
      </c>
    </row>
    <row r="35" spans="1:9" x14ac:dyDescent="0.25">
      <c r="A35" t="s">
        <v>105</v>
      </c>
      <c r="B35" s="8">
        <v>197</v>
      </c>
      <c r="C35" s="8"/>
      <c r="D35" s="8"/>
      <c r="E35" s="11">
        <v>0</v>
      </c>
      <c r="F35" s="11">
        <v>0</v>
      </c>
      <c r="G35" s="11">
        <v>0</v>
      </c>
      <c r="H35" s="11">
        <v>0</v>
      </c>
      <c r="I35" s="11">
        <v>0</v>
      </c>
    </row>
    <row r="36" spans="1:9" x14ac:dyDescent="0.25">
      <c r="A36" t="s">
        <v>15</v>
      </c>
      <c r="B36" s="8">
        <v>-4</v>
      </c>
      <c r="C36" s="8">
        <v>18</v>
      </c>
      <c r="D36" s="8">
        <v>-38</v>
      </c>
      <c r="E36" s="11">
        <v>0</v>
      </c>
      <c r="F36" s="11">
        <v>0</v>
      </c>
      <c r="G36" s="11">
        <v>0</v>
      </c>
      <c r="H36" s="11">
        <v>0</v>
      </c>
      <c r="I36" s="11">
        <v>0</v>
      </c>
    </row>
    <row r="37" spans="1:9" x14ac:dyDescent="0.25">
      <c r="A37" s="7" t="s">
        <v>16</v>
      </c>
      <c r="B37" s="12">
        <f>B32+B34+B35+B36</f>
        <v>-1582</v>
      </c>
      <c r="C37" s="12">
        <f>C32+C34+C35+C36</f>
        <v>-1749</v>
      </c>
      <c r="D37" s="12">
        <f>D32+D34+D35+D36</f>
        <v>-1155</v>
      </c>
      <c r="E37" s="12">
        <f t="shared" ref="E37:I37" si="4">E32+E34+E35+E36</f>
        <v>-1522.3999999999999</v>
      </c>
      <c r="F37" s="12">
        <f t="shared" si="4"/>
        <v>-1590.9079999999999</v>
      </c>
      <c r="G37" s="12">
        <f t="shared" si="4"/>
        <v>-1662.4988599999999</v>
      </c>
      <c r="H37" s="12">
        <f t="shared" si="4"/>
        <v>-1737.3113086999997</v>
      </c>
      <c r="I37" s="12">
        <f t="shared" si="4"/>
        <v>-1815.4903175914997</v>
      </c>
    </row>
    <row r="38" spans="1:9" x14ac:dyDescent="0.25">
      <c r="A38" s="7"/>
      <c r="B38" s="12"/>
      <c r="C38" s="12"/>
      <c r="D38" s="12"/>
      <c r="E38" s="11"/>
      <c r="F38" s="11"/>
      <c r="G38" s="11"/>
      <c r="H38" s="11"/>
      <c r="I38" s="11"/>
    </row>
    <row r="39" spans="1:9" x14ac:dyDescent="0.25">
      <c r="A39" s="7" t="s">
        <v>100</v>
      </c>
      <c r="B39" s="11"/>
      <c r="C39" s="11"/>
      <c r="D39" s="11"/>
      <c r="E39" s="11"/>
      <c r="F39" s="11"/>
      <c r="G39" s="11"/>
      <c r="H39" s="11"/>
      <c r="I39" s="11"/>
    </row>
    <row r="40" spans="1:9" x14ac:dyDescent="0.25">
      <c r="A40" t="s">
        <v>32</v>
      </c>
      <c r="B40" s="8">
        <v>1995</v>
      </c>
      <c r="C40" s="8">
        <v>2495</v>
      </c>
      <c r="D40" s="8">
        <v>998</v>
      </c>
      <c r="E40" s="11">
        <v>0</v>
      </c>
      <c r="F40" s="11">
        <v>0</v>
      </c>
      <c r="G40" s="11">
        <v>0</v>
      </c>
      <c r="H40" s="11">
        <v>0</v>
      </c>
      <c r="I40" s="11">
        <v>0</v>
      </c>
    </row>
    <row r="41" spans="1:9" x14ac:dyDescent="0.25">
      <c r="A41" t="s">
        <v>33</v>
      </c>
      <c r="B41" s="8">
        <v>-1050</v>
      </c>
      <c r="C41" s="8"/>
      <c r="D41" s="8">
        <v>-1500</v>
      </c>
      <c r="E41" s="11"/>
      <c r="F41" s="11"/>
      <c r="G41" s="11"/>
      <c r="H41" s="11"/>
      <c r="I41" s="11"/>
    </row>
    <row r="42" spans="1:9" x14ac:dyDescent="0.25">
      <c r="A42" t="s">
        <v>34</v>
      </c>
      <c r="B42" s="8">
        <v>-1500</v>
      </c>
      <c r="C42" s="8">
        <v>-2514</v>
      </c>
      <c r="D42" s="8">
        <v>-1624</v>
      </c>
      <c r="E42" s="11">
        <v>-1500</v>
      </c>
      <c r="F42" s="11">
        <v>-1500</v>
      </c>
      <c r="G42" s="11">
        <v>-1500</v>
      </c>
      <c r="H42" s="11">
        <v>-1500</v>
      </c>
      <c r="I42" s="11">
        <v>-1500</v>
      </c>
    </row>
    <row r="43" spans="1:9" x14ac:dyDescent="0.25">
      <c r="A43" t="s">
        <v>35</v>
      </c>
      <c r="B43" s="8">
        <v>-1116</v>
      </c>
      <c r="C43" s="8">
        <v>-1186</v>
      </c>
      <c r="D43" s="8">
        <v>-1293</v>
      </c>
      <c r="E43" s="11">
        <f>-1*'Income statement'!E53*'Cash Flow statement'!E44</f>
        <v>-1409.4907098345684</v>
      </c>
      <c r="F43" s="11">
        <f>-1*'Income statement'!F53*'Cash Flow statement'!F44</f>
        <v>-1559.7093865818063</v>
      </c>
      <c r="G43" s="11">
        <f>-1*'Income statement'!G53*'Cash Flow statement'!G44</f>
        <v>-1725.9378343748879</v>
      </c>
      <c r="H43" s="11">
        <f>-1*'Income statement'!H53*'Cash Flow statement'!H44</f>
        <v>-1909.8823154699844</v>
      </c>
      <c r="I43" s="11">
        <f>-1*'Income statement'!I53*'Cash Flow statement'!I44</f>
        <v>-2113.4309390305325</v>
      </c>
    </row>
    <row r="44" spans="1:9" x14ac:dyDescent="0.25">
      <c r="A44" s="20" t="s">
        <v>106</v>
      </c>
      <c r="B44" s="36">
        <f>-B43/'Income statement'!B53</f>
        <v>7.3421052631578947</v>
      </c>
      <c r="C44" s="36">
        <f>-C43/'Income statement'!C53</f>
        <v>8.0515953835709428</v>
      </c>
      <c r="D44" s="36">
        <f>-D43/'Income statement'!D53</f>
        <v>8.9916550764951317</v>
      </c>
      <c r="E44" s="36">
        <f>D44*(1+$B$58)</f>
        <v>9.9510085908556611</v>
      </c>
      <c r="F44" s="36">
        <f t="shared" ref="F44:I44" si="5">E44*(1+$B$58)</f>
        <v>11.012719141566683</v>
      </c>
      <c r="G44" s="36">
        <f t="shared" si="5"/>
        <v>12.187707585990605</v>
      </c>
      <c r="H44" s="36">
        <f t="shared" si="5"/>
        <v>13.488059968855378</v>
      </c>
      <c r="I44" s="36">
        <f t="shared" si="5"/>
        <v>14.927151840478952</v>
      </c>
    </row>
    <row r="45" spans="1:9" x14ac:dyDescent="0.25">
      <c r="A45" t="s">
        <v>36</v>
      </c>
      <c r="B45" s="8">
        <v>-52</v>
      </c>
      <c r="C45" s="8">
        <v>-58</v>
      </c>
      <c r="D45" s="8">
        <v>-39</v>
      </c>
      <c r="E45" s="11">
        <v>0</v>
      </c>
      <c r="F45" s="11">
        <v>0</v>
      </c>
      <c r="G45" s="11">
        <v>0</v>
      </c>
      <c r="H45" s="11">
        <v>0</v>
      </c>
      <c r="I45" s="11">
        <v>0</v>
      </c>
    </row>
    <row r="46" spans="1:9" x14ac:dyDescent="0.25">
      <c r="A46" t="s">
        <v>37</v>
      </c>
      <c r="B46" s="8">
        <v>-38</v>
      </c>
      <c r="C46" s="8">
        <v>-132</v>
      </c>
      <c r="D46" s="8">
        <v>-94</v>
      </c>
      <c r="E46" s="11"/>
      <c r="F46" s="11"/>
      <c r="G46" s="11"/>
      <c r="H46" s="11"/>
      <c r="I46" s="11"/>
    </row>
    <row r="47" spans="1:9" x14ac:dyDescent="0.25">
      <c r="A47" s="7" t="s">
        <v>17</v>
      </c>
      <c r="B47" s="12">
        <f>B40+B41+B42+B43+B45+B46</f>
        <v>-1761</v>
      </c>
      <c r="C47" s="12">
        <f>C40+C41+C42+C43+C45+C46</f>
        <v>-1395</v>
      </c>
      <c r="D47" s="12">
        <f>D40+D41+D42+D43+D45+D46</f>
        <v>-3552</v>
      </c>
      <c r="E47" s="12">
        <f t="shared" ref="E47:I47" si="6">E40+E41+E42+E43+E45+E46</f>
        <v>-2909.4907098345684</v>
      </c>
      <c r="F47" s="12">
        <f t="shared" si="6"/>
        <v>-3059.709386581806</v>
      </c>
      <c r="G47" s="12">
        <f t="shared" si="6"/>
        <v>-3225.9378343748876</v>
      </c>
      <c r="H47" s="12">
        <f t="shared" si="6"/>
        <v>-3409.8823154699844</v>
      </c>
      <c r="I47" s="12">
        <f t="shared" si="6"/>
        <v>-3613.4309390305325</v>
      </c>
    </row>
    <row r="48" spans="1:9" x14ac:dyDescent="0.25">
      <c r="A48" s="7"/>
      <c r="B48" s="12"/>
      <c r="C48" s="12"/>
      <c r="D48" s="12"/>
      <c r="E48" s="11"/>
      <c r="F48" s="11"/>
      <c r="G48" s="11"/>
      <c r="H48" s="11"/>
      <c r="I48" s="11"/>
    </row>
    <row r="49" spans="1:9" x14ac:dyDescent="0.25">
      <c r="A49" t="s">
        <v>38</v>
      </c>
      <c r="B49" s="27">
        <f>B29+B37+B47</f>
        <v>532</v>
      </c>
      <c r="C49" s="27">
        <f t="shared" ref="C49:I49" si="7">C29+C37+C47</f>
        <v>1244</v>
      </c>
      <c r="D49" s="27">
        <f t="shared" si="7"/>
        <v>50</v>
      </c>
      <c r="E49" s="27">
        <f t="shared" si="7"/>
        <v>338.41123347732992</v>
      </c>
      <c r="F49" s="27">
        <f t="shared" si="7"/>
        <v>27.156273420628622</v>
      </c>
      <c r="G49" s="27">
        <f t="shared" si="7"/>
        <v>20.627720531876548</v>
      </c>
      <c r="H49" s="27">
        <f t="shared" si="7"/>
        <v>3.5696296118057944</v>
      </c>
      <c r="I49" s="27">
        <f t="shared" si="7"/>
        <v>-25.582716215842993</v>
      </c>
    </row>
    <row r="50" spans="1:9" x14ac:dyDescent="0.25">
      <c r="A50" t="s">
        <v>39</v>
      </c>
      <c r="B50" s="8">
        <v>2577</v>
      </c>
      <c r="C50" s="8">
        <v>3109</v>
      </c>
      <c r="D50" s="8">
        <v>4353</v>
      </c>
      <c r="E50" s="11">
        <v>4403</v>
      </c>
      <c r="F50" s="11">
        <v>7777</v>
      </c>
      <c r="G50" s="11">
        <v>11294</v>
      </c>
      <c r="H50" s="11">
        <v>14959</v>
      </c>
      <c r="I50" s="11">
        <v>18779</v>
      </c>
    </row>
    <row r="51" spans="1:9" x14ac:dyDescent="0.25">
      <c r="A51" s="1" t="s">
        <v>18</v>
      </c>
      <c r="B51" s="9">
        <f>B49+B50</f>
        <v>3109</v>
      </c>
      <c r="C51" s="9">
        <f t="shared" ref="C51:I51" si="8">C49+C50</f>
        <v>4353</v>
      </c>
      <c r="D51" s="9">
        <f t="shared" si="8"/>
        <v>4403</v>
      </c>
      <c r="E51" s="9">
        <f t="shared" si="8"/>
        <v>4741.4112334773299</v>
      </c>
      <c r="F51" s="9">
        <f t="shared" si="8"/>
        <v>7804.1562734206291</v>
      </c>
      <c r="G51" s="9">
        <f t="shared" si="8"/>
        <v>11314.627720531877</v>
      </c>
      <c r="H51" s="9">
        <f t="shared" si="8"/>
        <v>14962.569629611806</v>
      </c>
      <c r="I51" s="9">
        <f t="shared" si="8"/>
        <v>18753.417283784158</v>
      </c>
    </row>
    <row r="55" spans="1:9" x14ac:dyDescent="0.25">
      <c r="A55" t="s">
        <v>107</v>
      </c>
    </row>
    <row r="56" spans="1:9" x14ac:dyDescent="0.25">
      <c r="A56">
        <v>2024</v>
      </c>
      <c r="B56" s="6">
        <f>(C44/B44)-1</f>
        <v>9.6633062995325592E-2</v>
      </c>
      <c r="C56" s="14"/>
      <c r="D56" s="14"/>
      <c r="E56" s="14"/>
      <c r="F56" s="14"/>
      <c r="G56" s="14"/>
      <c r="H56" s="14"/>
      <c r="I56" s="14"/>
    </row>
    <row r="57" spans="1:9" x14ac:dyDescent="0.25">
      <c r="A57">
        <v>2025</v>
      </c>
      <c r="B57" s="6">
        <f>(D44/C44)-1</f>
        <v>0.11675446270466527</v>
      </c>
      <c r="C57" s="37"/>
      <c r="D57" s="37"/>
      <c r="E57" s="37"/>
      <c r="F57" s="37"/>
      <c r="G57" s="37"/>
    </row>
    <row r="58" spans="1:9" x14ac:dyDescent="0.25">
      <c r="B58" s="5">
        <f>AVERAGE(B56:B57)</f>
        <v>0.10669376284999543</v>
      </c>
    </row>
    <row r="59" spans="1:9" ht="30" x14ac:dyDescent="0.25">
      <c r="A59" s="35" t="s">
        <v>108</v>
      </c>
    </row>
    <row r="60" spans="1:9" ht="45" x14ac:dyDescent="0.25">
      <c r="A60" s="35" t="s">
        <v>109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4E67-3527-4E49-99A0-DA57319E1777}">
  <dimension ref="A1:J55"/>
  <sheetViews>
    <sheetView showGridLines="0" zoomScaleNormal="100" workbookViewId="0">
      <pane ySplit="5" topLeftCell="A12" activePane="bottomLeft" state="frozen"/>
      <selection pane="bottomLeft" activeCell="D43" sqref="D43:I43"/>
    </sheetView>
  </sheetViews>
  <sheetFormatPr defaultRowHeight="15" x14ac:dyDescent="0.25"/>
  <cols>
    <col min="1" max="1" width="58.140625" bestFit="1" customWidth="1"/>
    <col min="2" max="9" width="11.42578125" bestFit="1" customWidth="1"/>
  </cols>
  <sheetData>
    <row r="1" spans="1:10" x14ac:dyDescent="0.25">
      <c r="A1" s="7" t="s">
        <v>75</v>
      </c>
    </row>
    <row r="2" spans="1:10" x14ac:dyDescent="0.25">
      <c r="A2" s="7" t="s">
        <v>150</v>
      </c>
    </row>
    <row r="3" spans="1:10" x14ac:dyDescent="0.25">
      <c r="A3" s="2" t="s">
        <v>2</v>
      </c>
    </row>
    <row r="4" spans="1:10" x14ac:dyDescent="0.25">
      <c r="A4" s="18"/>
      <c r="B4" s="22">
        <v>2023</v>
      </c>
      <c r="C4" s="22">
        <v>2024</v>
      </c>
      <c r="D4" s="22">
        <v>2025</v>
      </c>
      <c r="E4" s="21">
        <f>D4+1</f>
        <v>2026</v>
      </c>
      <c r="F4" s="21">
        <f t="shared" ref="F4:I4" si="0">E4+1</f>
        <v>2027</v>
      </c>
      <c r="G4" s="21">
        <f t="shared" si="0"/>
        <v>2028</v>
      </c>
      <c r="H4" s="21">
        <f t="shared" si="0"/>
        <v>2029</v>
      </c>
      <c r="I4" s="21">
        <f t="shared" si="0"/>
        <v>2030</v>
      </c>
      <c r="J4" s="19"/>
    </row>
    <row r="5" spans="1:10" x14ac:dyDescent="0.25">
      <c r="A5" s="52" t="s">
        <v>138</v>
      </c>
      <c r="B5" s="53">
        <f t="shared" ref="B5:I5" si="1">B23-B45</f>
        <v>0</v>
      </c>
      <c r="C5" s="53">
        <f t="shared" si="1"/>
        <v>0</v>
      </c>
      <c r="D5" s="53">
        <f t="shared" si="1"/>
        <v>0</v>
      </c>
      <c r="E5" s="54">
        <f t="shared" si="1"/>
        <v>-18.460658217823948</v>
      </c>
      <c r="F5" s="54">
        <f t="shared" si="1"/>
        <v>1026.610978863122</v>
      </c>
      <c r="G5" s="54">
        <f t="shared" si="1"/>
        <v>2526.1393051758714</v>
      </c>
      <c r="H5" s="54">
        <f t="shared" si="1"/>
        <v>4180.4069913653875</v>
      </c>
      <c r="I5" s="54">
        <f t="shared" si="1"/>
        <v>6006.953061777429</v>
      </c>
      <c r="J5" s="19"/>
    </row>
    <row r="6" spans="1:10" x14ac:dyDescent="0.25">
      <c r="A6" t="s">
        <v>40</v>
      </c>
    </row>
    <row r="7" spans="1:10" x14ac:dyDescent="0.25">
      <c r="A7" t="s">
        <v>41</v>
      </c>
    </row>
    <row r="8" spans="1:10" x14ac:dyDescent="0.25">
      <c r="A8" s="4" t="s">
        <v>42</v>
      </c>
      <c r="B8" s="8">
        <v>3109</v>
      </c>
      <c r="C8" s="8">
        <v>4353</v>
      </c>
      <c r="D8" s="8">
        <v>4403</v>
      </c>
      <c r="E8" s="11">
        <f>'Cash Flow statement'!E51</f>
        <v>4741.4112334773299</v>
      </c>
      <c r="F8" s="11">
        <f>'Cash Flow statement'!F51</f>
        <v>7804.1562734206291</v>
      </c>
      <c r="G8" s="11">
        <f>'Cash Flow statement'!G51</f>
        <v>11314.627720531877</v>
      </c>
      <c r="H8" s="11">
        <f>'Cash Flow statement'!H51</f>
        <v>14962.569629611806</v>
      </c>
      <c r="I8" s="11">
        <f>'Cash Flow statement'!I51</f>
        <v>18753.417283784158</v>
      </c>
    </row>
    <row r="9" spans="1:10" x14ac:dyDescent="0.25">
      <c r="A9" s="4" t="s">
        <v>43</v>
      </c>
      <c r="B9" s="8">
        <v>1454</v>
      </c>
      <c r="C9" s="8">
        <v>1272</v>
      </c>
      <c r="D9" s="8">
        <v>1375</v>
      </c>
      <c r="E9" s="11">
        <f>('Income statement'!E7*'Balance sheet'!E10)/365</f>
        <v>1478.1110962088128</v>
      </c>
      <c r="F9" s="11">
        <f>('Income statement'!F7*'Balance sheet'!F10)/365</f>
        <v>1544.6260955382095</v>
      </c>
      <c r="G9" s="11">
        <f>('Income statement'!G7*'Balance sheet'!G10)/365</f>
        <v>1614.1342698374285</v>
      </c>
      <c r="H9" s="11">
        <f>('Income statement'!H7*'Balance sheet'!H10)/365</f>
        <v>1686.7703119801129</v>
      </c>
      <c r="I9" s="11">
        <f>('Income statement'!I7*'Balance sheet'!I10)/365</f>
        <v>1762.6749760192179</v>
      </c>
    </row>
    <row r="10" spans="1:10" x14ac:dyDescent="0.25">
      <c r="A10" s="20" t="s">
        <v>139</v>
      </c>
      <c r="B10" s="49">
        <f>'Working capital schedule'!B8</f>
        <v>13.507508271824891</v>
      </c>
      <c r="C10" s="49">
        <f>'Working capital schedule'!C8</f>
        <v>11.314795408573586</v>
      </c>
      <c r="D10" s="49">
        <f>'Working capital schedule'!D8</f>
        <v>11.962506554798113</v>
      </c>
      <c r="E10" s="49">
        <f>'Working capital schedule'!E8</f>
        <v>12.261603411732196</v>
      </c>
      <c r="F10" s="49">
        <f>'Working capital schedule'!F8</f>
        <v>12.261603411732196</v>
      </c>
      <c r="G10" s="49">
        <f>'Working capital schedule'!G8</f>
        <v>12.261603411732196</v>
      </c>
      <c r="H10" s="49">
        <f>'Working capital schedule'!H8</f>
        <v>12.261603411732196</v>
      </c>
      <c r="I10" s="49">
        <f>'Working capital schedule'!I8</f>
        <v>12.261603411732196</v>
      </c>
    </row>
    <row r="11" spans="1:10" x14ac:dyDescent="0.25">
      <c r="A11" s="4" t="s">
        <v>60</v>
      </c>
      <c r="B11" s="8">
        <v>5693</v>
      </c>
      <c r="C11" s="8">
        <v>5908</v>
      </c>
      <c r="D11" s="8">
        <v>6544</v>
      </c>
      <c r="E11" s="11">
        <f>'Income statement'!E7*'Working capital schedule'!E10</f>
        <v>6524.5979782809518</v>
      </c>
      <c r="F11" s="11">
        <f>'Income statement'!F7*'Working capital schedule'!F10</f>
        <v>6818.2048873035938</v>
      </c>
      <c r="G11" s="11">
        <f>'Income statement'!G7*'Working capital schedule'!G10</f>
        <v>7125.024107232256</v>
      </c>
      <c r="H11" s="11">
        <f>'Income statement'!H7*'Working capital schedule'!H10</f>
        <v>7445.6501920577066</v>
      </c>
      <c r="I11" s="11">
        <f>'Income statement'!I7*'Working capital schedule'!I10</f>
        <v>7780.7044507003038</v>
      </c>
    </row>
    <row r="12" spans="1:10" x14ac:dyDescent="0.25">
      <c r="A12" s="4" t="s">
        <v>44</v>
      </c>
      <c r="B12" s="8">
        <v>1109</v>
      </c>
      <c r="C12" s="8">
        <v>1455</v>
      </c>
      <c r="D12" s="8">
        <v>1309</v>
      </c>
      <c r="E12" s="11">
        <f>'Income statement'!E7*'Working capital schedule'!E6</f>
        <v>1391.6630231739161</v>
      </c>
      <c r="F12" s="11">
        <f>'Income statement'!F7*'Working capital schedule'!F6</f>
        <v>1454.2878592167424</v>
      </c>
      <c r="G12" s="11">
        <f>'Income statement'!G7*'Working capital schedule'!G6</f>
        <v>1519.7308128814957</v>
      </c>
      <c r="H12" s="11">
        <f>'Income statement'!H7*'Working capital schedule'!H6</f>
        <v>1588.118699461163</v>
      </c>
      <c r="I12" s="11">
        <f>'Income statement'!I7*'Working capital schedule'!I6</f>
        <v>1659.5840409369152</v>
      </c>
    </row>
    <row r="13" spans="1:10" x14ac:dyDescent="0.25">
      <c r="A13" s="4" t="s">
        <v>61</v>
      </c>
      <c r="B13" s="8">
        <v>2341</v>
      </c>
      <c r="C13" s="8">
        <v>1286</v>
      </c>
      <c r="D13" s="8">
        <v>1656</v>
      </c>
      <c r="E13" s="11">
        <f>'Income statement'!E7*'Working capital schedule'!E12</f>
        <v>1912.4603184893031</v>
      </c>
      <c r="F13" s="11">
        <f>'Income statement'!F7*'Working capital schedule'!F12</f>
        <v>1998.5210328213216</v>
      </c>
      <c r="G13" s="11">
        <f>'Income statement'!G7*'Working capital schedule'!G12</f>
        <v>2088.4544792982811</v>
      </c>
      <c r="H13" s="11">
        <f>'Income statement'!H7*'Working capital schedule'!H12</f>
        <v>2182.4349308667033</v>
      </c>
      <c r="I13" s="11">
        <f>'Income statement'!I7*'Working capital schedule'!I12</f>
        <v>2280.6445027557052</v>
      </c>
    </row>
    <row r="14" spans="1:10" x14ac:dyDescent="0.25">
      <c r="A14" s="42" t="s">
        <v>62</v>
      </c>
      <c r="B14" s="41">
        <f>B8+B9+B11+B12+B13</f>
        <v>13706</v>
      </c>
      <c r="C14" s="41">
        <f>C8+C9+C11+C12+C13</f>
        <v>14274</v>
      </c>
      <c r="D14" s="41">
        <f>D8+D9+D11+D12+D13</f>
        <v>15287</v>
      </c>
      <c r="E14" s="41">
        <f t="shared" ref="E14:I14" si="2">E8+E9+E11+E12+E13</f>
        <v>16048.243649630313</v>
      </c>
      <c r="F14" s="41">
        <f t="shared" si="2"/>
        <v>19619.796148300498</v>
      </c>
      <c r="G14" s="41">
        <f t="shared" si="2"/>
        <v>23661.971389781338</v>
      </c>
      <c r="H14" s="41">
        <f t="shared" si="2"/>
        <v>27865.543763977494</v>
      </c>
      <c r="I14" s="41">
        <f t="shared" si="2"/>
        <v>32237.025254196302</v>
      </c>
    </row>
    <row r="15" spans="1:10" x14ac:dyDescent="0.25">
      <c r="A15" s="3"/>
      <c r="B15" s="10"/>
      <c r="C15" s="10"/>
      <c r="D15" s="10"/>
      <c r="E15" s="11"/>
      <c r="F15" s="11"/>
      <c r="G15" s="11"/>
      <c r="H15" s="11"/>
      <c r="I15" s="11"/>
    </row>
    <row r="16" spans="1:10" x14ac:dyDescent="0.25">
      <c r="A16" t="s">
        <v>45</v>
      </c>
      <c r="B16" s="11"/>
      <c r="C16" s="11"/>
      <c r="D16" s="11"/>
      <c r="E16" s="11"/>
      <c r="F16" s="11"/>
      <c r="G16" s="11"/>
      <c r="H16" s="11"/>
      <c r="I16" s="11"/>
    </row>
    <row r="17" spans="1:9" x14ac:dyDescent="0.25">
      <c r="A17" s="4" t="s">
        <v>46</v>
      </c>
      <c r="B17" s="8">
        <v>9653</v>
      </c>
      <c r="C17" s="8">
        <v>10536</v>
      </c>
      <c r="D17" s="8">
        <v>10972</v>
      </c>
      <c r="E17" s="11">
        <f>'PPE schedule'!E14</f>
        <v>11815.070755341485</v>
      </c>
      <c r="F17" s="11">
        <f>'PPE schedule'!F14</f>
        <v>11725.189427218169</v>
      </c>
      <c r="G17" s="11">
        <f>'PPE schedule'!G14</f>
        <v>11593.558171874138</v>
      </c>
      <c r="H17" s="11">
        <f>'PPE schedule'!H14</f>
        <v>11418.29824258446</v>
      </c>
      <c r="I17" s="11">
        <f>'PPE schedule'!I14</f>
        <v>11197.44634902158</v>
      </c>
    </row>
    <row r="18" spans="1:9" x14ac:dyDescent="0.25">
      <c r="A18" s="4" t="s">
        <v>63</v>
      </c>
      <c r="B18" s="8">
        <v>1818</v>
      </c>
      <c r="C18" s="8">
        <v>1770</v>
      </c>
      <c r="D18" s="8">
        <v>1859</v>
      </c>
      <c r="E18" s="11">
        <f>D18</f>
        <v>1859</v>
      </c>
      <c r="F18" s="11">
        <f t="shared" ref="F18:I18" si="3">E18</f>
        <v>1859</v>
      </c>
      <c r="G18" s="11">
        <f t="shared" si="3"/>
        <v>1859</v>
      </c>
      <c r="H18" s="11">
        <f t="shared" si="3"/>
        <v>1859</v>
      </c>
      <c r="I18" s="11">
        <f t="shared" si="3"/>
        <v>1859</v>
      </c>
    </row>
    <row r="19" spans="1:9" x14ac:dyDescent="0.25">
      <c r="A19" s="4" t="s">
        <v>47</v>
      </c>
      <c r="B19" s="8">
        <v>17517</v>
      </c>
      <c r="C19" s="8">
        <v>17512</v>
      </c>
      <c r="D19" s="8">
        <v>17437</v>
      </c>
      <c r="E19" s="27">
        <f>D19</f>
        <v>17437</v>
      </c>
      <c r="F19" s="27">
        <f t="shared" ref="F19:I19" si="4">E19</f>
        <v>17437</v>
      </c>
      <c r="G19" s="27">
        <f t="shared" si="4"/>
        <v>17437</v>
      </c>
      <c r="H19" s="27">
        <f t="shared" si="4"/>
        <v>17437</v>
      </c>
      <c r="I19" s="27">
        <f t="shared" si="4"/>
        <v>17437</v>
      </c>
    </row>
    <row r="20" spans="1:9" x14ac:dyDescent="0.25">
      <c r="A20" s="4" t="s">
        <v>64</v>
      </c>
      <c r="B20" s="8">
        <v>1020</v>
      </c>
      <c r="C20" s="8">
        <v>1599</v>
      </c>
      <c r="D20" s="8">
        <v>1051</v>
      </c>
      <c r="E20" s="11">
        <f>D20</f>
        <v>1051</v>
      </c>
      <c r="F20" s="11">
        <f t="shared" ref="F20:I20" si="5">E20</f>
        <v>1051</v>
      </c>
      <c r="G20" s="11">
        <f t="shared" si="5"/>
        <v>1051</v>
      </c>
      <c r="H20" s="11">
        <f t="shared" si="5"/>
        <v>1051</v>
      </c>
      <c r="I20" s="11">
        <f t="shared" si="5"/>
        <v>1051</v>
      </c>
    </row>
    <row r="21" spans="1:9" x14ac:dyDescent="0.25">
      <c r="A21" s="4" t="s">
        <v>65</v>
      </c>
      <c r="B21" s="8">
        <v>1331</v>
      </c>
      <c r="C21" s="8">
        <v>2184</v>
      </c>
      <c r="D21" s="8">
        <v>3167</v>
      </c>
      <c r="E21" s="11">
        <f>D21</f>
        <v>3167</v>
      </c>
      <c r="F21" s="11">
        <f t="shared" ref="F21:I22" si="6">E21</f>
        <v>3167</v>
      </c>
      <c r="G21" s="11">
        <f t="shared" si="6"/>
        <v>3167</v>
      </c>
      <c r="H21" s="11">
        <f t="shared" si="6"/>
        <v>3167</v>
      </c>
      <c r="I21" s="11">
        <f t="shared" si="6"/>
        <v>3167</v>
      </c>
    </row>
    <row r="22" spans="1:9" x14ac:dyDescent="0.25">
      <c r="A22" s="4" t="s">
        <v>48</v>
      </c>
      <c r="B22" s="8">
        <v>1499</v>
      </c>
      <c r="C22" s="8">
        <v>1484</v>
      </c>
      <c r="D22" s="8">
        <v>1604</v>
      </c>
      <c r="E22" s="11">
        <f>D22</f>
        <v>1604</v>
      </c>
      <c r="F22" s="11">
        <f t="shared" si="6"/>
        <v>1604</v>
      </c>
      <c r="G22" s="11">
        <f t="shared" si="6"/>
        <v>1604</v>
      </c>
      <c r="H22" s="11">
        <f t="shared" si="6"/>
        <v>1604</v>
      </c>
      <c r="I22" s="11">
        <f t="shared" si="6"/>
        <v>1604</v>
      </c>
    </row>
    <row r="23" spans="1:9" x14ac:dyDescent="0.25">
      <c r="A23" s="39" t="s">
        <v>66</v>
      </c>
      <c r="B23" s="38">
        <f>B14+B17+B18+B19+B20+B21+B22</f>
        <v>46544</v>
      </c>
      <c r="C23" s="38">
        <f>C14+C17+C18+C19+C20+C21+C22</f>
        <v>49359</v>
      </c>
      <c r="D23" s="38">
        <f>D14+D17+D18+D19+D20+D21+D22</f>
        <v>51377</v>
      </c>
      <c r="E23" s="38">
        <f>E14+E17+E18+E19+E20+E21+E22</f>
        <v>52981.314404971796</v>
      </c>
      <c r="F23" s="38">
        <f t="shared" ref="F23:I23" si="7">F14+F17+F18+F19+F20+F21+F22</f>
        <v>56462.985575518665</v>
      </c>
      <c r="G23" s="38">
        <f t="shared" si="7"/>
        <v>60373.529561655479</v>
      </c>
      <c r="H23" s="38">
        <f t="shared" si="7"/>
        <v>64401.842006561958</v>
      </c>
      <c r="I23" s="38">
        <f t="shared" si="7"/>
        <v>68552.471603217884</v>
      </c>
    </row>
    <row r="24" spans="1:9" x14ac:dyDescent="0.25">
      <c r="A24" s="4"/>
      <c r="B24" s="10"/>
      <c r="C24" s="10"/>
      <c r="D24" s="10"/>
      <c r="E24" s="11"/>
      <c r="F24" s="11"/>
      <c r="G24" s="11"/>
      <c r="H24" s="11"/>
      <c r="I24" s="11"/>
    </row>
    <row r="25" spans="1:9" x14ac:dyDescent="0.25">
      <c r="A25" s="3" t="s">
        <v>49</v>
      </c>
      <c r="B25" s="11"/>
      <c r="C25" s="11"/>
      <c r="D25" s="11"/>
      <c r="E25" s="11"/>
      <c r="F25" s="11"/>
      <c r="G25" s="11"/>
      <c r="H25" s="11"/>
      <c r="I25" s="11"/>
    </row>
    <row r="26" spans="1:9" x14ac:dyDescent="0.25">
      <c r="A26" s="4" t="s">
        <v>50</v>
      </c>
      <c r="B26" s="8">
        <v>2110</v>
      </c>
      <c r="C26" s="8">
        <v>2599</v>
      </c>
      <c r="D26" s="8">
        <v>3240</v>
      </c>
      <c r="E26" s="11">
        <f>('Income statement'!E11*'Working capital schedule'!E17)/365</f>
        <v>2856.3782987814238</v>
      </c>
      <c r="F26" s="11">
        <f>('Income statement'!F11*'Working capital schedule'!F17)/365</f>
        <v>2984.9153222265882</v>
      </c>
      <c r="G26" s="11">
        <f>('Income statement'!G11*'Working capital schedule'!G17)/365</f>
        <v>3119.2365117267846</v>
      </c>
      <c r="H26" s="11">
        <f>('Income statement'!H11*'Working capital schedule'!H17)/365</f>
        <v>3259.6021547544892</v>
      </c>
      <c r="I26" s="11">
        <f>('Income statement'!I11*'Working capital schedule'!I17)/365</f>
        <v>3406.2842517184413</v>
      </c>
    </row>
    <row r="27" spans="1:9" x14ac:dyDescent="0.25">
      <c r="A27" s="4" t="s">
        <v>67</v>
      </c>
      <c r="B27" s="8">
        <v>2251</v>
      </c>
      <c r="C27" s="8">
        <v>2271</v>
      </c>
      <c r="D27" s="8">
        <v>2309</v>
      </c>
      <c r="E27" s="11">
        <f>'Income statement'!E7*'Working capital schedule'!E19</f>
        <v>2421.604614577871</v>
      </c>
      <c r="F27" s="11">
        <f>'Income statement'!F7*'Working capital schedule'!F19</f>
        <v>2530.5768222338752</v>
      </c>
      <c r="G27" s="11">
        <f>'Income statement'!G7*'Working capital schedule'!G19</f>
        <v>2644.4527792343993</v>
      </c>
      <c r="H27" s="11">
        <f>'Income statement'!H7*'Working capital schedule'!H19</f>
        <v>2763.4531542999471</v>
      </c>
      <c r="I27" s="11">
        <f>'Income statement'!I7*'Working capital schedule'!I19</f>
        <v>2887.8085462434447</v>
      </c>
    </row>
    <row r="28" spans="1:9" x14ac:dyDescent="0.25">
      <c r="A28" s="4" t="s">
        <v>27</v>
      </c>
      <c r="B28" s="8">
        <v>4193</v>
      </c>
      <c r="C28" s="8">
        <v>4070</v>
      </c>
      <c r="D28" s="8">
        <v>4086</v>
      </c>
      <c r="E28" s="11">
        <f>'Income statement'!E7*'Working capital schedule'!E21</f>
        <v>4448.4015721522883</v>
      </c>
      <c r="F28" s="11">
        <f>'Income statement'!F7*'Working capital schedule'!F21</f>
        <v>4648.5796428991416</v>
      </c>
      <c r="G28" s="11">
        <f>'Income statement'!G7*'Working capital schedule'!G21</f>
        <v>4857.7657268296025</v>
      </c>
      <c r="H28" s="11">
        <f>'Income statement'!H7*'Working capital schedule'!H21</f>
        <v>5076.3651845369341</v>
      </c>
      <c r="I28" s="11">
        <f>'Income statement'!I7*'Working capital schedule'!I21</f>
        <v>5304.8016178410962</v>
      </c>
    </row>
    <row r="29" spans="1:9" x14ac:dyDescent="0.25">
      <c r="A29" s="4" t="s">
        <v>51</v>
      </c>
      <c r="B29" s="8">
        <v>3388</v>
      </c>
      <c r="C29" s="8">
        <v>5188</v>
      </c>
      <c r="D29" s="8">
        <v>4247</v>
      </c>
      <c r="E29" s="11">
        <f>D29</f>
        <v>4247</v>
      </c>
      <c r="F29" s="11">
        <f t="shared" ref="F29:I29" si="8">E29</f>
        <v>4247</v>
      </c>
      <c r="G29" s="11">
        <f t="shared" si="8"/>
        <v>4247</v>
      </c>
      <c r="H29" s="11">
        <f t="shared" si="8"/>
        <v>4247</v>
      </c>
      <c r="I29" s="11">
        <f t="shared" si="8"/>
        <v>4247</v>
      </c>
    </row>
    <row r="30" spans="1:9" x14ac:dyDescent="0.25">
      <c r="A30" s="40" t="s">
        <v>68</v>
      </c>
      <c r="B30" s="41">
        <f>B26+B27+B28+B29</f>
        <v>11942</v>
      </c>
      <c r="C30" s="41">
        <f>C26+C27+C28+C29</f>
        <v>14128</v>
      </c>
      <c r="D30" s="41">
        <f>D26+D27+D28+D29</f>
        <v>13882</v>
      </c>
      <c r="E30" s="41">
        <f t="shared" ref="E30:I30" si="9">E26+E27+E28+E29</f>
        <v>13973.384485511582</v>
      </c>
      <c r="F30" s="41">
        <f t="shared" si="9"/>
        <v>14411.071787359604</v>
      </c>
      <c r="G30" s="41">
        <f t="shared" si="9"/>
        <v>14868.455017790786</v>
      </c>
      <c r="H30" s="41">
        <f t="shared" si="9"/>
        <v>15346.420493591369</v>
      </c>
      <c r="I30" s="41">
        <f t="shared" si="9"/>
        <v>15845.894415802983</v>
      </c>
    </row>
    <row r="31" spans="1:9" x14ac:dyDescent="0.25">
      <c r="A31" s="4"/>
      <c r="B31" s="10"/>
      <c r="C31" s="10"/>
      <c r="D31" s="10"/>
      <c r="E31" s="11"/>
      <c r="F31" s="11"/>
      <c r="G31" s="11"/>
      <c r="H31" s="11"/>
      <c r="I31" s="11"/>
    </row>
    <row r="32" spans="1:9" x14ac:dyDescent="0.25">
      <c r="A32" s="3" t="s">
        <v>52</v>
      </c>
      <c r="B32" s="11"/>
      <c r="C32" s="11"/>
      <c r="D32" s="11"/>
      <c r="E32" s="11"/>
      <c r="F32" s="11"/>
      <c r="G32" s="11"/>
      <c r="H32" s="11"/>
      <c r="I32" s="11"/>
    </row>
    <row r="33" spans="1:9" x14ac:dyDescent="0.25">
      <c r="A33" s="4" t="s">
        <v>53</v>
      </c>
      <c r="B33" s="8">
        <v>13786</v>
      </c>
      <c r="C33" s="8">
        <v>14692</v>
      </c>
      <c r="D33" s="8">
        <v>15162</v>
      </c>
      <c r="E33" s="11">
        <f>'Debt schedule'!E8</f>
        <v>14660</v>
      </c>
      <c r="F33" s="11">
        <f>'Debt schedule'!F8</f>
        <v>14660</v>
      </c>
      <c r="G33" s="11">
        <f>'Debt schedule'!G8</f>
        <v>14660</v>
      </c>
      <c r="H33" s="11">
        <f>'Debt schedule'!H8</f>
        <v>14660</v>
      </c>
      <c r="I33" s="11">
        <f>'Debt schedule'!I8</f>
        <v>14660</v>
      </c>
    </row>
    <row r="34" spans="1:9" x14ac:dyDescent="0.25">
      <c r="A34" s="4" t="s">
        <v>54</v>
      </c>
      <c r="B34" s="8">
        <v>1290</v>
      </c>
      <c r="C34" s="8">
        <v>1120</v>
      </c>
      <c r="D34" s="8">
        <v>1110</v>
      </c>
      <c r="E34" s="11">
        <f>D34</f>
        <v>1110</v>
      </c>
      <c r="F34" s="11">
        <f t="shared" ref="F34:I34" si="10">E34</f>
        <v>1110</v>
      </c>
      <c r="G34" s="11">
        <f t="shared" si="10"/>
        <v>1110</v>
      </c>
      <c r="H34" s="11">
        <f t="shared" si="10"/>
        <v>1110</v>
      </c>
      <c r="I34" s="11">
        <f t="shared" si="10"/>
        <v>1110</v>
      </c>
    </row>
    <row r="35" spans="1:9" x14ac:dyDescent="0.25">
      <c r="A35" s="4" t="s">
        <v>69</v>
      </c>
      <c r="B35" s="8">
        <v>1892</v>
      </c>
      <c r="C35" s="8">
        <v>1798</v>
      </c>
      <c r="D35" s="8">
        <v>1857</v>
      </c>
      <c r="E35" s="11">
        <f>D35</f>
        <v>1857</v>
      </c>
      <c r="F35" s="11">
        <f t="shared" ref="F35:I35" si="11">E35</f>
        <v>1857</v>
      </c>
      <c r="G35" s="11">
        <f t="shared" si="11"/>
        <v>1857</v>
      </c>
      <c r="H35" s="11">
        <f t="shared" si="11"/>
        <v>1857</v>
      </c>
      <c r="I35" s="11">
        <f t="shared" si="11"/>
        <v>1857</v>
      </c>
    </row>
    <row r="36" spans="1:9" x14ac:dyDescent="0.25">
      <c r="A36" s="4" t="s">
        <v>55</v>
      </c>
      <c r="B36" s="8">
        <v>2839</v>
      </c>
      <c r="C36" s="8">
        <v>2331</v>
      </c>
      <c r="D36" s="8">
        <v>2692</v>
      </c>
      <c r="E36" s="11">
        <f>D36</f>
        <v>2692</v>
      </c>
      <c r="F36" s="11">
        <f t="shared" ref="F36:I36" si="12">E36</f>
        <v>2692</v>
      </c>
      <c r="G36" s="11">
        <f t="shared" si="12"/>
        <v>2692</v>
      </c>
      <c r="H36" s="11">
        <f t="shared" si="12"/>
        <v>2692</v>
      </c>
      <c r="I36" s="11">
        <f t="shared" si="12"/>
        <v>2692</v>
      </c>
    </row>
    <row r="37" spans="1:9" x14ac:dyDescent="0.25">
      <c r="A37" s="39" t="s">
        <v>70</v>
      </c>
      <c r="B37" s="38">
        <f>B30+B33+B34+B35+B36</f>
        <v>31749</v>
      </c>
      <c r="C37" s="38">
        <f>C30+C33+C34+C35+C36</f>
        <v>34069</v>
      </c>
      <c r="D37" s="38">
        <f>D30+D33+D34+D35+D36</f>
        <v>34703</v>
      </c>
      <c r="E37" s="38">
        <f t="shared" ref="E37:I37" si="13">E30+E33+E34+E35+E36</f>
        <v>34292.384485511582</v>
      </c>
      <c r="F37" s="38">
        <f t="shared" si="13"/>
        <v>34730.0717873596</v>
      </c>
      <c r="G37" s="38">
        <f t="shared" si="13"/>
        <v>35187.455017790788</v>
      </c>
      <c r="H37" s="38">
        <f t="shared" si="13"/>
        <v>35665.420493591373</v>
      </c>
      <c r="I37" s="38">
        <f t="shared" si="13"/>
        <v>36164.894415802984</v>
      </c>
    </row>
    <row r="38" spans="1:9" x14ac:dyDescent="0.25">
      <c r="A38" s="4"/>
      <c r="B38" s="10"/>
      <c r="C38" s="10"/>
      <c r="D38" s="10"/>
      <c r="E38" s="11"/>
      <c r="F38" s="11"/>
      <c r="G38" s="11"/>
      <c r="H38" s="11"/>
      <c r="I38" s="11"/>
    </row>
    <row r="39" spans="1:9" x14ac:dyDescent="0.25">
      <c r="A39" s="3" t="s">
        <v>56</v>
      </c>
      <c r="B39" s="11"/>
      <c r="C39" s="11"/>
      <c r="D39" s="11"/>
      <c r="E39" s="11"/>
      <c r="F39" s="11"/>
      <c r="G39" s="11"/>
      <c r="H39" s="11"/>
      <c r="I39" s="11"/>
    </row>
    <row r="40" spans="1:9" x14ac:dyDescent="0.25">
      <c r="A40" s="4" t="s">
        <v>57</v>
      </c>
      <c r="B40" s="11">
        <v>150</v>
      </c>
      <c r="C40" s="11">
        <v>145</v>
      </c>
      <c r="D40" s="11">
        <v>142</v>
      </c>
      <c r="E40" s="11">
        <f>D40</f>
        <v>142</v>
      </c>
      <c r="F40" s="11">
        <f t="shared" ref="F40:I40" si="14">E40</f>
        <v>142</v>
      </c>
      <c r="G40" s="11">
        <f t="shared" si="14"/>
        <v>142</v>
      </c>
      <c r="H40" s="11">
        <f t="shared" si="14"/>
        <v>142</v>
      </c>
      <c r="I40" s="11">
        <f t="shared" si="14"/>
        <v>142</v>
      </c>
    </row>
    <row r="41" spans="1:9" x14ac:dyDescent="0.25">
      <c r="A41" s="4" t="s">
        <v>140</v>
      </c>
      <c r="B41" s="11">
        <v>14773</v>
      </c>
      <c r="C41" s="11">
        <v>15297</v>
      </c>
      <c r="D41" s="11">
        <v>16658</v>
      </c>
      <c r="E41" s="11">
        <f>D41+'Cash Flow statement'!E7+('Cash Flow statement'!E43)</f>
        <v>18691.390577678034</v>
      </c>
      <c r="F41" s="11">
        <f>E41+'Cash Flow statement'!F7+('Cash Flow statement'!F43)</f>
        <v>20690.302809295947</v>
      </c>
      <c r="G41" s="11">
        <f>F41+'Cash Flow statement'!G7+('Cash Flow statement'!G43)</f>
        <v>22643.93523868882</v>
      </c>
      <c r="H41" s="11">
        <f>G41+'Cash Flow statement'!H7+('Cash Flow statement'!H43)</f>
        <v>24540.014521605197</v>
      </c>
      <c r="I41" s="11">
        <f>H41+'Cash Flow statement'!I7+('Cash Flow statement'!I43)</f>
        <v>26364.624125637471</v>
      </c>
    </row>
    <row r="42" spans="1:9" x14ac:dyDescent="0.25">
      <c r="A42" s="4" t="s">
        <v>58</v>
      </c>
      <c r="B42" s="11">
        <v>-128</v>
      </c>
      <c r="C42" s="11">
        <v>-152</v>
      </c>
      <c r="D42" s="11">
        <v>-126</v>
      </c>
      <c r="E42" s="11">
        <f>D42</f>
        <v>-126</v>
      </c>
      <c r="F42" s="11">
        <f t="shared" ref="F42:I42" si="15">E42</f>
        <v>-126</v>
      </c>
      <c r="G42" s="11">
        <f t="shared" si="15"/>
        <v>-126</v>
      </c>
      <c r="H42" s="11">
        <f t="shared" si="15"/>
        <v>-126</v>
      </c>
      <c r="I42" s="11">
        <f t="shared" si="15"/>
        <v>-126</v>
      </c>
    </row>
    <row r="43" spans="1:9" x14ac:dyDescent="0.25">
      <c r="A43" s="40" t="s">
        <v>59</v>
      </c>
      <c r="B43" s="41">
        <f>B40+B41+B42</f>
        <v>14795</v>
      </c>
      <c r="C43" s="41">
        <f>C40+C41+C42</f>
        <v>15290</v>
      </c>
      <c r="D43" s="41">
        <f>D40+D41+D42</f>
        <v>16674</v>
      </c>
      <c r="E43" s="41">
        <f t="shared" ref="E43:I43" si="16">E40+E41+E42</f>
        <v>18707.390577678034</v>
      </c>
      <c r="F43" s="41">
        <f t="shared" si="16"/>
        <v>20706.302809295947</v>
      </c>
      <c r="G43" s="41">
        <f t="shared" si="16"/>
        <v>22659.93523868882</v>
      </c>
      <c r="H43" s="41">
        <f t="shared" si="16"/>
        <v>24556.014521605197</v>
      </c>
      <c r="I43" s="41">
        <f t="shared" si="16"/>
        <v>26380.624125637471</v>
      </c>
    </row>
    <row r="44" spans="1:9" x14ac:dyDescent="0.25">
      <c r="A44" s="43"/>
      <c r="B44" s="44"/>
      <c r="C44" s="44"/>
      <c r="D44" s="10"/>
      <c r="E44" s="11"/>
      <c r="F44" s="11"/>
      <c r="G44" s="11"/>
      <c r="H44" s="11"/>
      <c r="I44" s="11"/>
    </row>
    <row r="45" spans="1:9" x14ac:dyDescent="0.25">
      <c r="A45" s="39" t="s">
        <v>71</v>
      </c>
      <c r="B45" s="38">
        <f t="shared" ref="B45:I45" si="17">B37+B43</f>
        <v>46544</v>
      </c>
      <c r="C45" s="38">
        <f t="shared" si="17"/>
        <v>49359</v>
      </c>
      <c r="D45" s="38">
        <f t="shared" si="17"/>
        <v>51377</v>
      </c>
      <c r="E45" s="38">
        <f t="shared" si="17"/>
        <v>52999.77506318962</v>
      </c>
      <c r="F45" s="38">
        <f t="shared" si="17"/>
        <v>55436.374596655543</v>
      </c>
      <c r="G45" s="38">
        <f t="shared" si="17"/>
        <v>57847.390256479608</v>
      </c>
      <c r="H45" s="38">
        <f t="shared" si="17"/>
        <v>60221.43501519657</v>
      </c>
      <c r="I45" s="38">
        <f t="shared" si="17"/>
        <v>62545.518541440455</v>
      </c>
    </row>
    <row r="55" spans="1:9" x14ac:dyDescent="0.25">
      <c r="A55" s="4" t="s">
        <v>151</v>
      </c>
      <c r="B55" s="11"/>
      <c r="C55" s="11"/>
      <c r="D55" s="11"/>
      <c r="E55" s="11">
        <v>-1022</v>
      </c>
      <c r="F55" s="11">
        <v>1556</v>
      </c>
      <c r="G55" s="11">
        <v>1518</v>
      </c>
      <c r="H55" s="11">
        <v>1672</v>
      </c>
      <c r="I55" s="11">
        <v>1845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45343-02FB-4C20-A4D1-30AE047BC79C}">
  <sheetPr>
    <tabColor theme="5"/>
  </sheetPr>
  <dimension ref="A1"/>
  <sheetViews>
    <sheetView showGridLines="0" workbookViewId="0">
      <selection sqref="A1:XFD1048576"/>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F7DA7-DDB3-4F4F-85E3-7E5CF9725CFF}">
  <dimension ref="A1:I25"/>
  <sheetViews>
    <sheetView showGridLines="0" workbookViewId="0">
      <selection activeCell="D17" sqref="D17"/>
    </sheetView>
  </sheetViews>
  <sheetFormatPr defaultRowHeight="15" x14ac:dyDescent="0.25"/>
  <cols>
    <col min="1" max="1" width="43.42578125" bestFit="1" customWidth="1"/>
    <col min="2" max="2" width="10.28515625" bestFit="1" customWidth="1"/>
    <col min="3" max="3" width="11.140625" bestFit="1" customWidth="1"/>
    <col min="4" max="4" width="10.5703125" bestFit="1" customWidth="1"/>
  </cols>
  <sheetData>
    <row r="1" spans="1:9" ht="21" x14ac:dyDescent="0.35">
      <c r="A1" s="119" t="s">
        <v>134</v>
      </c>
      <c r="B1" s="119"/>
      <c r="C1" s="119"/>
      <c r="D1" s="119"/>
      <c r="E1" s="119"/>
      <c r="F1" s="119"/>
      <c r="G1" s="119"/>
      <c r="H1" s="119"/>
      <c r="I1" s="119"/>
    </row>
    <row r="2" spans="1:9" x14ac:dyDescent="0.25">
      <c r="B2" s="22">
        <v>2023</v>
      </c>
      <c r="C2" s="22">
        <v>2024</v>
      </c>
      <c r="D2" s="22">
        <v>2025</v>
      </c>
      <c r="E2" s="21">
        <f>2025+1</f>
        <v>2026</v>
      </c>
      <c r="F2" s="21">
        <f t="shared" ref="F2:I2" si="0">E2+1</f>
        <v>2027</v>
      </c>
      <c r="G2" s="21">
        <f t="shared" si="0"/>
        <v>2028</v>
      </c>
      <c r="H2" s="21">
        <f t="shared" si="0"/>
        <v>2029</v>
      </c>
      <c r="I2" s="21">
        <f t="shared" si="0"/>
        <v>2030</v>
      </c>
    </row>
    <row r="3" spans="1:9" x14ac:dyDescent="0.25">
      <c r="B3" s="22"/>
      <c r="C3" s="22"/>
      <c r="D3" s="22"/>
      <c r="E3" s="21"/>
      <c r="F3" s="21"/>
      <c r="G3" s="21"/>
      <c r="H3" s="21"/>
      <c r="I3" s="21"/>
    </row>
    <row r="4" spans="1:9" x14ac:dyDescent="0.25">
      <c r="A4" t="s">
        <v>110</v>
      </c>
      <c r="B4" s="8"/>
      <c r="C4" s="8">
        <v>19269</v>
      </c>
      <c r="D4" s="8">
        <v>20620</v>
      </c>
      <c r="E4" s="11">
        <f>D8</f>
        <v>22070</v>
      </c>
      <c r="F4" s="11">
        <f t="shared" ref="F4:I4" si="1">E8</f>
        <v>23592.400000000001</v>
      </c>
      <c r="G4" s="11">
        <f t="shared" si="1"/>
        <v>25183.308000000001</v>
      </c>
      <c r="H4" s="11">
        <f t="shared" si="1"/>
        <v>26845.806860000001</v>
      </c>
      <c r="I4" s="11">
        <f t="shared" si="1"/>
        <v>28583.118168699999</v>
      </c>
    </row>
    <row r="5" spans="1:9" x14ac:dyDescent="0.25">
      <c r="A5" t="s">
        <v>111</v>
      </c>
      <c r="B5" s="11"/>
      <c r="C5" s="11">
        <f>-1*'Cash Flow statement'!C32</f>
        <v>1767</v>
      </c>
      <c r="D5" s="11">
        <f>-1*'Cash Flow statement'!D32</f>
        <v>1450</v>
      </c>
      <c r="E5" s="11">
        <f>-1*'Cash Flow statement'!E32</f>
        <v>1522.3999999999999</v>
      </c>
      <c r="F5" s="11">
        <f>-1*'Cash Flow statement'!F32</f>
        <v>1590.9079999999999</v>
      </c>
      <c r="G5" s="11">
        <f>-1*'Cash Flow statement'!G32</f>
        <v>1662.4988599999999</v>
      </c>
      <c r="H5" s="11">
        <f>-1*'Cash Flow statement'!H32</f>
        <v>1737.3113086999997</v>
      </c>
      <c r="I5" s="11">
        <f>-1*'Cash Flow statement'!I32</f>
        <v>1815.4903175914997</v>
      </c>
    </row>
    <row r="6" spans="1:9" x14ac:dyDescent="0.25">
      <c r="A6" s="20" t="s">
        <v>118</v>
      </c>
      <c r="B6" s="11"/>
      <c r="C6" s="6">
        <f>'Income statement'!C22/C4</f>
        <v>7.1098655872126215E-2</v>
      </c>
      <c r="D6" s="6">
        <f>'Income statement'!D22/D4</f>
        <v>7.1387002909796313E-2</v>
      </c>
      <c r="E6" s="6">
        <f>AVERAGE($C$6:$D$6)</f>
        <v>7.1242829390961271E-2</v>
      </c>
      <c r="F6" s="6">
        <f t="shared" ref="F6:I6" si="2">AVERAGE($C$6:$D$6)</f>
        <v>7.1242829390961271E-2</v>
      </c>
      <c r="G6" s="6">
        <f t="shared" si="2"/>
        <v>7.1242829390961271E-2</v>
      </c>
      <c r="H6" s="6">
        <f t="shared" si="2"/>
        <v>7.1242829390961271E-2</v>
      </c>
      <c r="I6" s="6">
        <f t="shared" si="2"/>
        <v>7.1242829390961271E-2</v>
      </c>
    </row>
    <row r="7" spans="1:9" x14ac:dyDescent="0.25">
      <c r="A7" t="s">
        <v>112</v>
      </c>
      <c r="B7" s="11"/>
      <c r="C7" s="11">
        <v>0</v>
      </c>
      <c r="D7" s="11">
        <v>0</v>
      </c>
      <c r="E7" s="11">
        <v>0</v>
      </c>
      <c r="F7" s="11">
        <v>0</v>
      </c>
      <c r="G7" s="11">
        <v>0</v>
      </c>
      <c r="H7" s="11">
        <v>0</v>
      </c>
      <c r="I7" s="11">
        <v>0</v>
      </c>
    </row>
    <row r="8" spans="1:9" x14ac:dyDescent="0.25">
      <c r="A8" t="s">
        <v>113</v>
      </c>
      <c r="B8" s="11"/>
      <c r="C8" s="11">
        <f t="shared" ref="C8:I8" si="3">C4+C5-C7</f>
        <v>21036</v>
      </c>
      <c r="D8" s="11">
        <f t="shared" si="3"/>
        <v>22070</v>
      </c>
      <c r="E8" s="11">
        <f t="shared" si="3"/>
        <v>23592.400000000001</v>
      </c>
      <c r="F8" s="11">
        <f t="shared" si="3"/>
        <v>25183.308000000001</v>
      </c>
      <c r="G8" s="11">
        <f t="shared" si="3"/>
        <v>26845.806860000001</v>
      </c>
      <c r="H8" s="11">
        <f t="shared" si="3"/>
        <v>28583.118168699999</v>
      </c>
      <c r="I8" s="11">
        <f t="shared" si="3"/>
        <v>30398.608486291498</v>
      </c>
    </row>
    <row r="9" spans="1:9" x14ac:dyDescent="0.25">
      <c r="B9" s="11"/>
      <c r="C9" s="11"/>
      <c r="D9" s="11"/>
      <c r="E9" s="11"/>
      <c r="F9" s="11"/>
      <c r="G9" s="11"/>
      <c r="H9" s="11"/>
      <c r="I9" s="11"/>
    </row>
    <row r="10" spans="1:9" x14ac:dyDescent="0.25">
      <c r="A10" t="s">
        <v>116</v>
      </c>
      <c r="B10" s="11"/>
      <c r="C10" s="11">
        <v>7964</v>
      </c>
      <c r="D10" s="11">
        <v>8733</v>
      </c>
      <c r="E10" s="11">
        <f t="shared" ref="E10:I10" si="4">D13</f>
        <v>10205</v>
      </c>
      <c r="F10" s="11">
        <f t="shared" si="4"/>
        <v>11777.329244658515</v>
      </c>
      <c r="G10" s="11">
        <f t="shared" si="4"/>
        <v>13458.11857278183</v>
      </c>
      <c r="H10" s="11">
        <f t="shared" si="4"/>
        <v>15252.248688125861</v>
      </c>
      <c r="I10" s="11">
        <f t="shared" si="4"/>
        <v>17164.819926115539</v>
      </c>
    </row>
    <row r="11" spans="1:9" x14ac:dyDescent="0.25">
      <c r="A11" t="s">
        <v>115</v>
      </c>
      <c r="B11" s="11"/>
      <c r="C11" s="11">
        <f>'Income statement'!C22</f>
        <v>1370</v>
      </c>
      <c r="D11" s="11">
        <f>'Income statement'!D22</f>
        <v>1472</v>
      </c>
      <c r="E11" s="11">
        <f>E4*E6</f>
        <v>1572.3292446585153</v>
      </c>
      <c r="F11" s="11">
        <f t="shared" ref="F11:I11" si="5">F4*F6</f>
        <v>1680.7893281233148</v>
      </c>
      <c r="G11" s="11">
        <f t="shared" si="5"/>
        <v>1794.1301153440302</v>
      </c>
      <c r="H11" s="11">
        <f t="shared" si="5"/>
        <v>1912.5712379896777</v>
      </c>
      <c r="I11" s="11">
        <f t="shared" si="5"/>
        <v>2036.3422111543794</v>
      </c>
    </row>
    <row r="12" spans="1:9" x14ac:dyDescent="0.25">
      <c r="A12" t="s">
        <v>112</v>
      </c>
      <c r="B12" s="11"/>
      <c r="C12" s="11">
        <v>0</v>
      </c>
      <c r="D12" s="11">
        <v>0</v>
      </c>
      <c r="E12" s="11"/>
      <c r="F12" s="11"/>
      <c r="G12" s="11"/>
      <c r="H12" s="11"/>
      <c r="I12" s="11"/>
    </row>
    <row r="13" spans="1:9" x14ac:dyDescent="0.25">
      <c r="A13" t="s">
        <v>114</v>
      </c>
      <c r="B13" s="11"/>
      <c r="C13" s="11">
        <f>C10+C11-C12</f>
        <v>9334</v>
      </c>
      <c r="D13" s="11">
        <f t="shared" ref="D13:I13" si="6">D10+D11-D12</f>
        <v>10205</v>
      </c>
      <c r="E13" s="11">
        <f t="shared" si="6"/>
        <v>11777.329244658515</v>
      </c>
      <c r="F13" s="11">
        <f t="shared" si="6"/>
        <v>13458.11857278183</v>
      </c>
      <c r="G13" s="11">
        <f t="shared" si="6"/>
        <v>15252.248688125861</v>
      </c>
      <c r="H13" s="11">
        <f t="shared" si="6"/>
        <v>17164.819926115539</v>
      </c>
      <c r="I13" s="11">
        <f t="shared" si="6"/>
        <v>19201.162137269919</v>
      </c>
    </row>
    <row r="14" spans="1:9" x14ac:dyDescent="0.25">
      <c r="A14" t="s">
        <v>117</v>
      </c>
      <c r="B14" s="11"/>
      <c r="C14" s="11">
        <f t="shared" ref="C14:D14" si="7">C8-C13</f>
        <v>11702</v>
      </c>
      <c r="D14" s="11">
        <f t="shared" si="7"/>
        <v>11865</v>
      </c>
      <c r="E14" s="11">
        <f>D14+E5-E11</f>
        <v>11815.070755341485</v>
      </c>
      <c r="F14" s="11">
        <f t="shared" ref="F14:I14" si="8">E14+F5-F11</f>
        <v>11725.189427218169</v>
      </c>
      <c r="G14" s="11">
        <f t="shared" si="8"/>
        <v>11593.558171874138</v>
      </c>
      <c r="H14" s="11">
        <f t="shared" si="8"/>
        <v>11418.29824258446</v>
      </c>
      <c r="I14" s="11">
        <f t="shared" si="8"/>
        <v>11197.44634902158</v>
      </c>
    </row>
    <row r="15" spans="1:9" x14ac:dyDescent="0.25">
      <c r="B15" s="11"/>
      <c r="C15" s="11"/>
      <c r="D15" s="11"/>
      <c r="E15" s="11"/>
      <c r="F15" s="11"/>
      <c r="G15" s="11"/>
      <c r="H15" s="11"/>
      <c r="I15" s="11"/>
    </row>
    <row r="16" spans="1:9" x14ac:dyDescent="0.25">
      <c r="B16" s="11"/>
      <c r="C16" s="11"/>
      <c r="D16" s="11"/>
      <c r="E16" s="11"/>
      <c r="F16" s="11"/>
      <c r="G16" s="11"/>
      <c r="H16" s="11"/>
      <c r="I16" s="11"/>
    </row>
    <row r="17" spans="2:9" x14ac:dyDescent="0.25">
      <c r="B17" s="11"/>
      <c r="C17" s="11"/>
      <c r="D17" s="11"/>
      <c r="E17" s="11"/>
      <c r="F17" s="11"/>
      <c r="G17" s="11"/>
      <c r="H17" s="11"/>
      <c r="I17" s="11"/>
    </row>
    <row r="18" spans="2:9" x14ac:dyDescent="0.25">
      <c r="B18" s="11"/>
      <c r="C18" s="11"/>
      <c r="D18" s="11"/>
      <c r="E18" s="11"/>
      <c r="F18" s="11"/>
      <c r="G18" s="11"/>
      <c r="H18" s="11"/>
      <c r="I18" s="11"/>
    </row>
    <row r="19" spans="2:9" x14ac:dyDescent="0.25">
      <c r="B19" s="11"/>
      <c r="C19" s="11"/>
      <c r="D19" s="11"/>
      <c r="E19" s="11"/>
      <c r="F19" s="11"/>
      <c r="G19" s="11"/>
      <c r="H19" s="11"/>
      <c r="I19" s="11"/>
    </row>
    <row r="20" spans="2:9" x14ac:dyDescent="0.25">
      <c r="B20" s="11"/>
      <c r="C20" s="11"/>
      <c r="D20" s="11"/>
      <c r="E20" s="11"/>
      <c r="F20" s="11"/>
      <c r="G20" s="11"/>
      <c r="H20" s="11"/>
      <c r="I20" s="11"/>
    </row>
    <row r="21" spans="2:9" x14ac:dyDescent="0.25">
      <c r="B21" s="11"/>
      <c r="C21" s="11"/>
      <c r="D21" s="11"/>
      <c r="E21" s="11"/>
      <c r="F21" s="11"/>
      <c r="G21" s="11"/>
      <c r="H21" s="11"/>
      <c r="I21" s="11"/>
    </row>
    <row r="22" spans="2:9" x14ac:dyDescent="0.25">
      <c r="B22" s="11"/>
      <c r="C22" s="11"/>
      <c r="D22" s="11"/>
      <c r="E22" s="11"/>
      <c r="F22" s="11"/>
      <c r="G22" s="11"/>
      <c r="H22" s="11"/>
      <c r="I22" s="11"/>
    </row>
    <row r="23" spans="2:9" x14ac:dyDescent="0.25">
      <c r="B23" s="11"/>
      <c r="C23" s="11"/>
      <c r="D23" s="11"/>
      <c r="E23" s="11"/>
      <c r="F23" s="11"/>
      <c r="G23" s="11"/>
      <c r="H23" s="11"/>
      <c r="I23" s="11"/>
    </row>
    <row r="24" spans="2:9" x14ac:dyDescent="0.25">
      <c r="B24" s="11"/>
      <c r="C24" s="11"/>
      <c r="D24" s="11"/>
      <c r="E24" s="11"/>
      <c r="F24" s="11"/>
      <c r="G24" s="11"/>
      <c r="H24" s="11"/>
      <c r="I24" s="11"/>
    </row>
    <row r="25" spans="2:9" x14ac:dyDescent="0.25">
      <c r="B25" s="11"/>
      <c r="C25" s="11"/>
      <c r="D25" s="11"/>
      <c r="E25" s="11"/>
      <c r="F25" s="11"/>
      <c r="G25" s="11"/>
      <c r="H25" s="11"/>
      <c r="I25" s="11"/>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EAED0-B558-4FC6-B67C-74B2A7338B44}">
  <dimension ref="A1:I26"/>
  <sheetViews>
    <sheetView showGridLines="0" workbookViewId="0">
      <pane ySplit="3" topLeftCell="A4" activePane="bottomLeft" state="frozen"/>
      <selection pane="bottomLeft" activeCell="E26" sqref="E26"/>
    </sheetView>
  </sheetViews>
  <sheetFormatPr defaultRowHeight="15" x14ac:dyDescent="0.25"/>
  <cols>
    <col min="1" max="1" width="49.7109375" bestFit="1" customWidth="1"/>
    <col min="2" max="2" width="12" bestFit="1" customWidth="1"/>
    <col min="3" max="3" width="10.42578125" bestFit="1" customWidth="1"/>
    <col min="4" max="4" width="9.7109375" bestFit="1" customWidth="1"/>
  </cols>
  <sheetData>
    <row r="1" spans="1:9" ht="21" customHeight="1" x14ac:dyDescent="0.35">
      <c r="A1" s="119" t="s">
        <v>119</v>
      </c>
      <c r="B1" s="119"/>
      <c r="C1" s="119"/>
      <c r="D1" s="119"/>
      <c r="E1" s="119"/>
      <c r="F1" s="119"/>
      <c r="G1" s="119"/>
      <c r="H1" s="119"/>
      <c r="I1" s="119"/>
    </row>
    <row r="2" spans="1:9" x14ac:dyDescent="0.25">
      <c r="B2" s="22">
        <v>2023</v>
      </c>
      <c r="C2" s="22">
        <v>2024</v>
      </c>
      <c r="D2" s="22">
        <v>2025</v>
      </c>
      <c r="E2" s="21">
        <f>D2+1</f>
        <v>2026</v>
      </c>
      <c r="F2" s="21">
        <f t="shared" ref="F2:I2" si="0">E2+1</f>
        <v>2027</v>
      </c>
      <c r="G2" s="21">
        <f t="shared" si="0"/>
        <v>2028</v>
      </c>
      <c r="H2" s="21">
        <f t="shared" si="0"/>
        <v>2029</v>
      </c>
      <c r="I2" s="21">
        <f t="shared" si="0"/>
        <v>2030</v>
      </c>
    </row>
    <row r="3" spans="1:9" x14ac:dyDescent="0.25">
      <c r="B3" s="22"/>
      <c r="C3" s="22"/>
      <c r="D3" s="22"/>
      <c r="E3" s="21"/>
      <c r="F3" s="21"/>
      <c r="G3" s="21"/>
      <c r="H3" s="21"/>
      <c r="I3" s="21"/>
    </row>
    <row r="4" spans="1:9" x14ac:dyDescent="0.25">
      <c r="A4" s="7" t="s">
        <v>41</v>
      </c>
    </row>
    <row r="5" spans="1:9" x14ac:dyDescent="0.25">
      <c r="A5" t="s">
        <v>121</v>
      </c>
      <c r="B5" s="11">
        <f>'Balance sheet'!B12</f>
        <v>1109</v>
      </c>
      <c r="C5" s="11">
        <f>'Balance sheet'!C12</f>
        <v>1455</v>
      </c>
      <c r="D5" s="11">
        <f>'Balance sheet'!D12</f>
        <v>1309</v>
      </c>
      <c r="E5" s="11">
        <f>'Income statement'!E7*'Working capital schedule'!E6</f>
        <v>1391.6630231739161</v>
      </c>
      <c r="F5" s="11">
        <f>'Income statement'!F7*'Working capital schedule'!F6</f>
        <v>1454.2878592167424</v>
      </c>
      <c r="G5" s="11">
        <f>'Income statement'!G7*'Working capital schedule'!G6</f>
        <v>1519.7308128814957</v>
      </c>
      <c r="H5" s="11">
        <f>'Income statement'!H7*'Working capital schedule'!H6</f>
        <v>1588.118699461163</v>
      </c>
      <c r="I5" s="11">
        <f>'Income statement'!I7*'Working capital schedule'!I6</f>
        <v>1659.5840409369152</v>
      </c>
    </row>
    <row r="6" spans="1:9" x14ac:dyDescent="0.25">
      <c r="A6" s="20" t="s">
        <v>135</v>
      </c>
      <c r="B6" s="29">
        <f>B5/'Income statement'!B7</f>
        <v>2.8226011707813692E-2</v>
      </c>
      <c r="C6" s="29">
        <f>C5/'Income statement'!C7</f>
        <v>3.5459264494431313E-2</v>
      </c>
      <c r="D6" s="29">
        <f>D5/'Income statement'!D7</f>
        <v>3.1200839014158363E-2</v>
      </c>
      <c r="E6" s="6">
        <f>AVERAGE($B$6:$D$6)</f>
        <v>3.1628705072134458E-2</v>
      </c>
      <c r="F6" s="6">
        <f t="shared" ref="F6:I6" si="1">AVERAGE($B$6:$D$6)</f>
        <v>3.1628705072134458E-2</v>
      </c>
      <c r="G6" s="6">
        <f t="shared" si="1"/>
        <v>3.1628705072134458E-2</v>
      </c>
      <c r="H6" s="6">
        <f t="shared" si="1"/>
        <v>3.1628705072134458E-2</v>
      </c>
      <c r="I6" s="6">
        <f t="shared" si="1"/>
        <v>3.1628705072134458E-2</v>
      </c>
    </row>
    <row r="7" spans="1:9" x14ac:dyDescent="0.25">
      <c r="A7" t="s">
        <v>43</v>
      </c>
      <c r="B7" s="11">
        <f>'Balance sheet'!B9</f>
        <v>1454</v>
      </c>
      <c r="C7" s="11">
        <f>'Balance sheet'!C9</f>
        <v>1272</v>
      </c>
      <c r="D7" s="11">
        <f>'Balance sheet'!D9</f>
        <v>1375</v>
      </c>
      <c r="E7" s="11">
        <f>E8/356*'Income statement'!E7</f>
        <v>1515.479073360159</v>
      </c>
      <c r="F7" s="11">
        <f>F8/356*'Income statement'!F7</f>
        <v>1583.6756316613662</v>
      </c>
      <c r="G7" s="11">
        <f>G8/356*'Income statement'!G7</f>
        <v>1654.9410350861276</v>
      </c>
      <c r="H7" s="11">
        <f>H8/356*'Income statement'!H7</f>
        <v>1729.4133816650033</v>
      </c>
      <c r="I7" s="11">
        <f>I8/356*'Income statement'!I7</f>
        <v>1807.2369838399284</v>
      </c>
    </row>
    <row r="8" spans="1:9" x14ac:dyDescent="0.25">
      <c r="A8" s="20" t="s">
        <v>124</v>
      </c>
      <c r="B8" s="47">
        <f>B7/'Income statement'!B7*365</f>
        <v>13.507508271824891</v>
      </c>
      <c r="C8" s="47">
        <f>C7/'Income statement'!C7*365</f>
        <v>11.314795408573586</v>
      </c>
      <c r="D8" s="47">
        <f>D7/'Income statement'!D7*365</f>
        <v>11.962506554798113</v>
      </c>
      <c r="E8" s="13">
        <f>AVERAGE($B$8:$D$8)</f>
        <v>12.261603411732196</v>
      </c>
      <c r="F8" s="13">
        <f t="shared" ref="F8:I8" si="2">AVERAGE($B$8:$D$8)</f>
        <v>12.261603411732196</v>
      </c>
      <c r="G8" s="13">
        <f t="shared" si="2"/>
        <v>12.261603411732196</v>
      </c>
      <c r="H8" s="13">
        <f t="shared" si="2"/>
        <v>12.261603411732196</v>
      </c>
      <c r="I8" s="13">
        <f t="shared" si="2"/>
        <v>12.261603411732196</v>
      </c>
    </row>
    <row r="9" spans="1:9" x14ac:dyDescent="0.25">
      <c r="A9" s="3" t="s">
        <v>60</v>
      </c>
      <c r="B9" s="13">
        <f>'Balance sheet'!B11</f>
        <v>5693</v>
      </c>
      <c r="C9" s="13">
        <f>'Balance sheet'!C11</f>
        <v>5908</v>
      </c>
      <c r="D9" s="13">
        <f>'Balance sheet'!D11</f>
        <v>6544</v>
      </c>
      <c r="E9" s="13">
        <f>'Income statement'!E7*'Working capital schedule'!E10</f>
        <v>6524.5979782809518</v>
      </c>
      <c r="F9" s="13">
        <f>'Income statement'!F7*'Working capital schedule'!F10</f>
        <v>6818.2048873035938</v>
      </c>
      <c r="G9" s="13">
        <f>'Income statement'!G7*'Working capital schedule'!G10</f>
        <v>7125.024107232256</v>
      </c>
      <c r="H9" s="13">
        <f>'Income statement'!H7*'Working capital schedule'!H10</f>
        <v>7445.6501920577066</v>
      </c>
      <c r="I9" s="13">
        <f>'Income statement'!I7*'Working capital schedule'!I10</f>
        <v>7780.7044507003038</v>
      </c>
    </row>
    <row r="10" spans="1:9" x14ac:dyDescent="0.25">
      <c r="A10" s="20" t="s">
        <v>129</v>
      </c>
      <c r="B10" s="29">
        <f>B9/'Income statement'!B7</f>
        <v>0.14489692033596335</v>
      </c>
      <c r="C10" s="29">
        <f>C9/'Income statement'!C7</f>
        <v>0.14398167328735409</v>
      </c>
      <c r="D10" s="29">
        <f>D9/'Income statement'!D7</f>
        <v>0.15598035944129285</v>
      </c>
      <c r="E10" s="6">
        <f>AVERAGE($B$10:$D$10)</f>
        <v>0.14828631768820344</v>
      </c>
      <c r="F10" s="6">
        <f t="shared" ref="F10:I10" si="3">AVERAGE($B$10:$D$10)</f>
        <v>0.14828631768820344</v>
      </c>
      <c r="G10" s="6">
        <f t="shared" si="3"/>
        <v>0.14828631768820344</v>
      </c>
      <c r="H10" s="6">
        <f t="shared" si="3"/>
        <v>0.14828631768820344</v>
      </c>
      <c r="I10" s="6">
        <f t="shared" si="3"/>
        <v>0.14828631768820344</v>
      </c>
    </row>
    <row r="11" spans="1:9" x14ac:dyDescent="0.25">
      <c r="A11" s="3" t="s">
        <v>26</v>
      </c>
      <c r="B11" s="13">
        <f>'Balance sheet'!B13</f>
        <v>2341</v>
      </c>
      <c r="C11" s="13">
        <f>'Balance sheet'!C13</f>
        <v>1286</v>
      </c>
      <c r="D11" s="13">
        <f>'Balance sheet'!D13</f>
        <v>1656</v>
      </c>
      <c r="E11" s="13">
        <f>E12*'Income statement'!E7</f>
        <v>1912.4603184893031</v>
      </c>
      <c r="F11" s="13">
        <f>F12*'Income statement'!F7</f>
        <v>1998.5210328213216</v>
      </c>
      <c r="G11" s="13">
        <f>G12*'Income statement'!G7</f>
        <v>2088.4544792982811</v>
      </c>
      <c r="H11" s="13">
        <f>H12*'Income statement'!H7</f>
        <v>2182.4349308667033</v>
      </c>
      <c r="I11" s="13">
        <f>I12*'Income statement'!I7</f>
        <v>2280.6445027557052</v>
      </c>
    </row>
    <row r="12" spans="1:9" x14ac:dyDescent="0.25">
      <c r="A12" s="20" t="s">
        <v>130</v>
      </c>
      <c r="B12" s="29">
        <f>B11/'Income statement'!B7</f>
        <v>5.9582590990073812E-2</v>
      </c>
      <c r="C12" s="29">
        <f>C11/'Income statement'!C7</f>
        <v>3.134062827480321E-2</v>
      </c>
      <c r="D12" s="29">
        <f>D11/'Income statement'!D7</f>
        <v>3.9471802450302712E-2</v>
      </c>
      <c r="E12" s="6">
        <f>AVERAGE($B$12:$D$12)</f>
        <v>4.346500723839325E-2</v>
      </c>
      <c r="F12" s="6">
        <f t="shared" ref="F12:I12" si="4">AVERAGE($B$12:$D$12)</f>
        <v>4.346500723839325E-2</v>
      </c>
      <c r="G12" s="6">
        <f t="shared" si="4"/>
        <v>4.346500723839325E-2</v>
      </c>
      <c r="H12" s="6">
        <f t="shared" si="4"/>
        <v>4.346500723839325E-2</v>
      </c>
      <c r="I12" s="6">
        <f t="shared" si="4"/>
        <v>4.346500723839325E-2</v>
      </c>
    </row>
    <row r="13" spans="1:9" x14ac:dyDescent="0.25">
      <c r="A13" s="48" t="s">
        <v>62</v>
      </c>
      <c r="B13" s="41">
        <f>B5+B7+B9+B11</f>
        <v>10597</v>
      </c>
      <c r="C13" s="41">
        <f t="shared" ref="C13:I13" si="5">C5+C7+C9+C11</f>
        <v>9921</v>
      </c>
      <c r="D13" s="41">
        <f t="shared" si="5"/>
        <v>10884</v>
      </c>
      <c r="E13" s="41">
        <f t="shared" si="5"/>
        <v>11344.200393304331</v>
      </c>
      <c r="F13" s="41">
        <f t="shared" si="5"/>
        <v>11854.689411003024</v>
      </c>
      <c r="G13" s="41">
        <f t="shared" si="5"/>
        <v>12388.15043449816</v>
      </c>
      <c r="H13" s="41">
        <f t="shared" si="5"/>
        <v>12945.617204050577</v>
      </c>
      <c r="I13" s="41">
        <f t="shared" si="5"/>
        <v>13528.169978232854</v>
      </c>
    </row>
    <row r="15" spans="1:9" x14ac:dyDescent="0.25">
      <c r="A15" s="7" t="s">
        <v>120</v>
      </c>
    </row>
    <row r="16" spans="1:9" x14ac:dyDescent="0.25">
      <c r="A16" t="s">
        <v>50</v>
      </c>
      <c r="B16" s="11">
        <f>'Balance sheet'!B26</f>
        <v>2110</v>
      </c>
      <c r="C16" s="11">
        <f>'Balance sheet'!C26</f>
        <v>2599</v>
      </c>
      <c r="D16" s="11">
        <f>'Balance sheet'!D26</f>
        <v>3240</v>
      </c>
      <c r="E16" s="11">
        <f>E17/365*'Income statement'!E11</f>
        <v>2856.3782987814238</v>
      </c>
      <c r="F16" s="11">
        <f>F17/365*'Income statement'!F11</f>
        <v>2984.9153222265886</v>
      </c>
      <c r="G16" s="11">
        <f>G17/365*'Income statement'!G11</f>
        <v>3119.2365117267846</v>
      </c>
      <c r="H16" s="11">
        <f>H17/365*'Income statement'!H11</f>
        <v>3259.6021547544897</v>
      </c>
      <c r="I16" s="11">
        <f>I17/365*'Income statement'!I11</f>
        <v>3406.2842517184417</v>
      </c>
    </row>
    <row r="17" spans="1:9" x14ac:dyDescent="0.25">
      <c r="A17" s="20" t="s">
        <v>125</v>
      </c>
      <c r="B17" s="47">
        <f>B16/'Income statement'!B11*365</f>
        <v>24.40659166534622</v>
      </c>
      <c r="C17" s="47">
        <f>C16/'Income statement'!C11*365</f>
        <v>30.121134184289073</v>
      </c>
      <c r="D17" s="47">
        <f>D16/'Income statement'!D11*365</f>
        <v>36.458365446866232</v>
      </c>
      <c r="E17" s="13">
        <f>AVERAGE($B$17:$D$17)</f>
        <v>30.328697098833839</v>
      </c>
      <c r="F17" s="13">
        <f t="shared" ref="F17:I17" si="6">AVERAGE($B$17:$D$17)</f>
        <v>30.328697098833839</v>
      </c>
      <c r="G17" s="13">
        <f t="shared" si="6"/>
        <v>30.328697098833839</v>
      </c>
      <c r="H17" s="13">
        <f t="shared" si="6"/>
        <v>30.328697098833839</v>
      </c>
      <c r="I17" s="13">
        <f t="shared" si="6"/>
        <v>30.328697098833839</v>
      </c>
    </row>
    <row r="18" spans="1:9" x14ac:dyDescent="0.25">
      <c r="A18" t="s">
        <v>123</v>
      </c>
      <c r="B18" s="11">
        <f>'Balance sheet'!B27</f>
        <v>2251</v>
      </c>
      <c r="C18" s="11">
        <f>'Balance sheet'!C27</f>
        <v>2271</v>
      </c>
      <c r="D18" s="11">
        <f>'Balance sheet'!D27</f>
        <v>2309</v>
      </c>
      <c r="E18" s="11">
        <f>'Income statement'!E7*'Working capital schedule'!E19</f>
        <v>2421.604614577871</v>
      </c>
      <c r="F18" s="11">
        <f>'Income statement'!F7*'Working capital schedule'!F19</f>
        <v>2530.5768222338752</v>
      </c>
      <c r="G18" s="11">
        <f>'Income statement'!G7*'Working capital schedule'!G19</f>
        <v>2644.4527792343993</v>
      </c>
      <c r="H18" s="11">
        <f>'Income statement'!H7*'Working capital schedule'!H19</f>
        <v>2763.4531542999471</v>
      </c>
      <c r="I18" s="11">
        <f>'Income statement'!I7*'Working capital schedule'!I19</f>
        <v>2887.8085462434447</v>
      </c>
    </row>
    <row r="19" spans="1:9" x14ac:dyDescent="0.25">
      <c r="A19" s="20" t="s">
        <v>126</v>
      </c>
      <c r="B19" s="29">
        <f>B18/'Income statement'!B7</f>
        <v>5.7291931789259357E-2</v>
      </c>
      <c r="C19" s="29">
        <f>C18/'Income statement'!C7</f>
        <v>5.534569736553506E-2</v>
      </c>
      <c r="D19" s="29">
        <f>D18/'Income statement'!D7</f>
        <v>5.503646851313343E-2</v>
      </c>
      <c r="E19" s="29">
        <f>D19</f>
        <v>5.503646851313343E-2</v>
      </c>
      <c r="F19" s="29">
        <f t="shared" ref="F19:I19" si="7">E19</f>
        <v>5.503646851313343E-2</v>
      </c>
      <c r="G19" s="29">
        <f t="shared" si="7"/>
        <v>5.503646851313343E-2</v>
      </c>
      <c r="H19" s="29">
        <f t="shared" si="7"/>
        <v>5.503646851313343E-2</v>
      </c>
      <c r="I19" s="29">
        <f t="shared" si="7"/>
        <v>5.503646851313343E-2</v>
      </c>
    </row>
    <row r="20" spans="1:9" x14ac:dyDescent="0.25">
      <c r="A20" t="s">
        <v>122</v>
      </c>
      <c r="B20" s="11">
        <f>'Balance sheet'!B28</f>
        <v>4193</v>
      </c>
      <c r="C20" s="11">
        <f>'Balance sheet'!C28</f>
        <v>4070</v>
      </c>
      <c r="D20" s="11">
        <f>'Balance sheet'!D28</f>
        <v>4086</v>
      </c>
      <c r="E20" s="11">
        <f>'Income statement'!E7*'Working capital schedule'!E21</f>
        <v>4448.4015721522883</v>
      </c>
      <c r="F20" s="11">
        <f>'Income statement'!F7*'Working capital schedule'!F21</f>
        <v>4648.5796428991416</v>
      </c>
      <c r="G20" s="11">
        <f>'Income statement'!G7*'Working capital schedule'!G21</f>
        <v>4857.7657268296025</v>
      </c>
      <c r="H20" s="11">
        <f>'Income statement'!H7*'Working capital schedule'!H21</f>
        <v>5076.3651845369341</v>
      </c>
      <c r="I20" s="11">
        <f>'Income statement'!I7*'Working capital schedule'!I21</f>
        <v>5304.8016178410962</v>
      </c>
    </row>
    <row r="21" spans="1:9" x14ac:dyDescent="0.25">
      <c r="A21" s="20" t="s">
        <v>127</v>
      </c>
      <c r="B21" s="29">
        <f>B20/'Income statement'!B7</f>
        <v>0.10671926698905573</v>
      </c>
      <c r="C21" s="29">
        <f>C20/'Income statement'!C7</f>
        <v>9.9188458070333635E-2</v>
      </c>
      <c r="D21" s="29">
        <f>D20/'Income statement'!D7</f>
        <v>9.7392382132812122E-2</v>
      </c>
      <c r="E21" s="6">
        <f>AVERAGE($B$21:$D$21)</f>
        <v>0.10110003573073383</v>
      </c>
      <c r="F21" s="6">
        <f t="shared" ref="F21:I21" si="8">AVERAGE($B$21:$D$21)</f>
        <v>0.10110003573073383</v>
      </c>
      <c r="G21" s="6">
        <f t="shared" si="8"/>
        <v>0.10110003573073383</v>
      </c>
      <c r="H21" s="6">
        <f t="shared" si="8"/>
        <v>0.10110003573073383</v>
      </c>
      <c r="I21" s="6">
        <f t="shared" si="8"/>
        <v>0.10110003573073383</v>
      </c>
    </row>
    <row r="22" spans="1:9" x14ac:dyDescent="0.25">
      <c r="A22" s="3" t="s">
        <v>131</v>
      </c>
      <c r="B22" s="49">
        <f>'Cash Flow statement'!B27</f>
        <v>-658</v>
      </c>
      <c r="C22" s="49">
        <f>'Cash Flow statement'!C27</f>
        <v>1143</v>
      </c>
      <c r="D22" s="49">
        <f>'Cash Flow statement'!D27</f>
        <v>-559</v>
      </c>
      <c r="E22" s="50">
        <f>AVERAGE($B$22:$D$22)</f>
        <v>-24.666666666666668</v>
      </c>
      <c r="F22" s="50">
        <f t="shared" ref="F22:I22" si="9">AVERAGE($B$22:$D$22)</f>
        <v>-24.666666666666668</v>
      </c>
      <c r="G22" s="50">
        <f t="shared" si="9"/>
        <v>-24.666666666666668</v>
      </c>
      <c r="H22" s="50">
        <f t="shared" si="9"/>
        <v>-24.666666666666668</v>
      </c>
      <c r="I22" s="50">
        <f t="shared" si="9"/>
        <v>-24.666666666666668</v>
      </c>
    </row>
    <row r="23" spans="1:9" x14ac:dyDescent="0.25">
      <c r="A23" s="20" t="s">
        <v>132</v>
      </c>
      <c r="B23" s="29">
        <f>B22/'Income statement'!B41</f>
        <v>-2.2689655172413792</v>
      </c>
      <c r="C23" s="29">
        <f>C22/'Income statement'!C41</f>
        <v>1.3574821852731591</v>
      </c>
      <c r="D23" s="29">
        <f>D22/'Income statement'!D41</f>
        <v>-0.63092550790067725</v>
      </c>
      <c r="E23" s="29">
        <f>E22/'Income statement'!E41</f>
        <v>-3.4979821403028487E-2</v>
      </c>
      <c r="F23" s="29">
        <f>F22/'Income statement'!F41</f>
        <v>-3.38421404324366E-2</v>
      </c>
      <c r="G23" s="29">
        <f>G22/'Income statement'!G41</f>
        <v>-3.2729738506393345E-2</v>
      </c>
      <c r="H23" s="29">
        <f>H22/'Income statement'!H41</f>
        <v>-3.1642823879273939E-2</v>
      </c>
      <c r="I23" s="29">
        <f>I22/'Income statement'!I41</f>
        <v>-3.0581547150693958E-2</v>
      </c>
    </row>
    <row r="24" spans="1:9" x14ac:dyDescent="0.25">
      <c r="A24" s="3" t="s">
        <v>133</v>
      </c>
      <c r="B24" s="51">
        <f>1000</f>
        <v>1000</v>
      </c>
      <c r="C24" s="51">
        <f>B24+'Cash Flow statement'!C26</f>
        <v>125</v>
      </c>
      <c r="D24" s="51">
        <f>C24+'Cash Flow statement'!D26</f>
        <v>-87</v>
      </c>
      <c r="E24" s="51">
        <v>0</v>
      </c>
      <c r="F24" s="51">
        <v>0</v>
      </c>
      <c r="G24" s="51">
        <v>0</v>
      </c>
      <c r="H24" s="51">
        <v>0</v>
      </c>
      <c r="I24" s="51">
        <v>0</v>
      </c>
    </row>
    <row r="25" spans="1:9" x14ac:dyDescent="0.25">
      <c r="A25" s="48" t="s">
        <v>68</v>
      </c>
      <c r="B25" s="41">
        <f t="shared" ref="B25:I25" si="10">B16+B18+B20</f>
        <v>8554</v>
      </c>
      <c r="C25" s="41">
        <f t="shared" si="10"/>
        <v>8940</v>
      </c>
      <c r="D25" s="41">
        <f t="shared" si="10"/>
        <v>9635</v>
      </c>
      <c r="E25" s="41">
        <f t="shared" si="10"/>
        <v>9726.3844855115822</v>
      </c>
      <c r="F25" s="41">
        <f t="shared" si="10"/>
        <v>10164.071787359606</v>
      </c>
      <c r="G25" s="41">
        <f t="shared" si="10"/>
        <v>10621.455017790786</v>
      </c>
      <c r="H25" s="41">
        <f t="shared" si="10"/>
        <v>11099.420493591369</v>
      </c>
      <c r="I25" s="41">
        <f t="shared" si="10"/>
        <v>11598.894415802983</v>
      </c>
    </row>
    <row r="26" spans="1:9" x14ac:dyDescent="0.25">
      <c r="A26" s="7" t="s">
        <v>128</v>
      </c>
      <c r="B26" s="13">
        <f t="shared" ref="B26:I26" si="11">B13-B25</f>
        <v>2043</v>
      </c>
      <c r="C26" s="13">
        <f t="shared" si="11"/>
        <v>981</v>
      </c>
      <c r="D26" s="13">
        <f t="shared" si="11"/>
        <v>1249</v>
      </c>
      <c r="E26" s="13">
        <f t="shared" si="11"/>
        <v>1617.8159077927485</v>
      </c>
      <c r="F26" s="13">
        <f t="shared" si="11"/>
        <v>1690.6176236434185</v>
      </c>
      <c r="G26" s="13">
        <f t="shared" si="11"/>
        <v>1766.6954167073745</v>
      </c>
      <c r="H26" s="13">
        <f t="shared" si="11"/>
        <v>1846.1967104592077</v>
      </c>
      <c r="I26" s="13">
        <f t="shared" si="11"/>
        <v>1929.2755624298716</v>
      </c>
    </row>
  </sheetData>
  <mergeCells count="1">
    <mergeCell ref="A1:I1"/>
  </mergeCells>
  <pageMargins left="0.7" right="0.7" top="0.75" bottom="0.75" header="0.3" footer="0.3"/>
  <ignoredErrors>
    <ignoredError sqref="B11:D1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D4A48-381A-4065-BD01-808F22D4ECAF}">
  <dimension ref="A1:J16"/>
  <sheetViews>
    <sheetView showGridLines="0" workbookViewId="0">
      <selection activeCell="E2" sqref="E2:I2"/>
    </sheetView>
  </sheetViews>
  <sheetFormatPr defaultRowHeight="15" x14ac:dyDescent="0.25"/>
  <cols>
    <col min="1" max="1" width="34" bestFit="1" customWidth="1"/>
    <col min="2" max="4" width="10.5703125" bestFit="1" customWidth="1"/>
  </cols>
  <sheetData>
    <row r="1" spans="1:10" ht="21" x14ac:dyDescent="0.35">
      <c r="A1" s="119" t="s">
        <v>141</v>
      </c>
      <c r="B1" s="119"/>
      <c r="C1" s="119"/>
      <c r="D1" s="119"/>
      <c r="E1" s="119"/>
      <c r="F1" s="119"/>
      <c r="G1" s="119"/>
      <c r="H1" s="119"/>
      <c r="I1" s="119"/>
    </row>
    <row r="2" spans="1:10" x14ac:dyDescent="0.25">
      <c r="B2" s="22">
        <v>2023</v>
      </c>
      <c r="C2" s="22">
        <v>2024</v>
      </c>
      <c r="D2" s="22">
        <v>2025</v>
      </c>
      <c r="E2" s="21">
        <f>D2+1</f>
        <v>2026</v>
      </c>
      <c r="F2" s="21">
        <f t="shared" ref="F2:I2" si="0">E2+1</f>
        <v>2027</v>
      </c>
      <c r="G2" s="21">
        <f t="shared" si="0"/>
        <v>2028</v>
      </c>
      <c r="H2" s="21">
        <f t="shared" si="0"/>
        <v>2029</v>
      </c>
      <c r="I2" s="21">
        <f t="shared" si="0"/>
        <v>2030</v>
      </c>
    </row>
    <row r="3" spans="1:10" x14ac:dyDescent="0.25">
      <c r="B3" s="22"/>
      <c r="C3" s="22"/>
      <c r="D3" s="22"/>
      <c r="E3" s="21"/>
      <c r="F3" s="21"/>
      <c r="G3" s="21"/>
      <c r="H3" s="21"/>
      <c r="I3" s="21"/>
    </row>
    <row r="4" spans="1:10" x14ac:dyDescent="0.25">
      <c r="A4" t="s">
        <v>142</v>
      </c>
      <c r="B4" s="11">
        <f>'Balance sheet'!B33</f>
        <v>13786</v>
      </c>
      <c r="C4" s="11">
        <f>'Balance sheet'!C33</f>
        <v>14692</v>
      </c>
      <c r="D4" s="11">
        <f>'Balance sheet'!D33</f>
        <v>15162</v>
      </c>
      <c r="E4" s="11">
        <f>D8</f>
        <v>14660</v>
      </c>
      <c r="F4" s="11">
        <f>E8</f>
        <v>14660</v>
      </c>
      <c r="G4" s="11">
        <f t="shared" ref="G4:I4" si="1">F8</f>
        <v>14660</v>
      </c>
      <c r="H4" s="11">
        <f t="shared" si="1"/>
        <v>14660</v>
      </c>
      <c r="I4" s="11">
        <f t="shared" si="1"/>
        <v>14660</v>
      </c>
    </row>
    <row r="5" spans="1:10" x14ac:dyDescent="0.25">
      <c r="A5" t="s">
        <v>143</v>
      </c>
      <c r="B5" s="11">
        <f>'Cash Flow statement'!B40</f>
        <v>1995</v>
      </c>
      <c r="C5" s="11">
        <f>'Cash Flow statement'!C40</f>
        <v>2495</v>
      </c>
      <c r="D5" s="11">
        <f>'Cash Flow statement'!D40</f>
        <v>998</v>
      </c>
      <c r="E5" s="11">
        <f>'Cash Flow statement'!E40</f>
        <v>0</v>
      </c>
      <c r="F5" s="11">
        <v>0</v>
      </c>
      <c r="G5" s="11">
        <v>0</v>
      </c>
      <c r="H5" s="11">
        <v>0</v>
      </c>
      <c r="I5" s="11">
        <v>0</v>
      </c>
    </row>
    <row r="6" spans="1:10" x14ac:dyDescent="0.25">
      <c r="A6" t="s">
        <v>144</v>
      </c>
      <c r="B6" s="11">
        <f>-1*'Cash Flow statement'!B41</f>
        <v>1050</v>
      </c>
      <c r="C6" s="11">
        <f>-1*'Cash Flow statement'!C41</f>
        <v>0</v>
      </c>
      <c r="D6" s="11">
        <f>-1*'Cash Flow statement'!D41</f>
        <v>1500</v>
      </c>
      <c r="E6" s="11">
        <f>'Cash Flow statement'!E41</f>
        <v>0</v>
      </c>
      <c r="F6" s="11">
        <f>'Cash Flow statement'!F41</f>
        <v>0</v>
      </c>
      <c r="G6" s="11">
        <f>'Cash Flow statement'!G41</f>
        <v>0</v>
      </c>
      <c r="H6" s="11">
        <f>'Cash Flow statement'!H41</f>
        <v>0</v>
      </c>
      <c r="I6" s="11">
        <f>'Cash Flow statement'!I41</f>
        <v>0</v>
      </c>
    </row>
    <row r="7" spans="1:10" x14ac:dyDescent="0.25">
      <c r="A7" t="s">
        <v>149</v>
      </c>
      <c r="B7" s="11">
        <v>0</v>
      </c>
      <c r="C7" s="11">
        <v>2025</v>
      </c>
      <c r="D7" s="11">
        <v>0</v>
      </c>
      <c r="E7" s="11"/>
      <c r="F7" s="11"/>
      <c r="G7" s="11"/>
      <c r="H7" s="11"/>
      <c r="I7" s="11"/>
    </row>
    <row r="8" spans="1:10" x14ac:dyDescent="0.25">
      <c r="A8" t="s">
        <v>145</v>
      </c>
      <c r="B8" s="11">
        <f>B4+B5-B6-B7</f>
        <v>14731</v>
      </c>
      <c r="C8" s="11">
        <f t="shared" ref="C8:D8" si="2">C4+C5-C6-C7</f>
        <v>15162</v>
      </c>
      <c r="D8" s="11">
        <f t="shared" si="2"/>
        <v>14660</v>
      </c>
      <c r="E8" s="11">
        <f t="shared" ref="E8:I8" si="3">E4+E5-E6</f>
        <v>14660</v>
      </c>
      <c r="F8" s="11">
        <f t="shared" si="3"/>
        <v>14660</v>
      </c>
      <c r="G8" s="11">
        <f t="shared" si="3"/>
        <v>14660</v>
      </c>
      <c r="H8" s="11">
        <f t="shared" si="3"/>
        <v>14660</v>
      </c>
      <c r="I8" s="11">
        <f t="shared" si="3"/>
        <v>14660</v>
      </c>
      <c r="J8" s="11"/>
    </row>
    <row r="9" spans="1:10" x14ac:dyDescent="0.25">
      <c r="A9" t="s">
        <v>146</v>
      </c>
      <c r="B9" s="11">
        <f>AVERAGE(B8,B4)</f>
        <v>14258.5</v>
      </c>
      <c r="C9" s="11">
        <f t="shared" ref="C9:I9" si="4">AVERAGE(C8,C4)</f>
        <v>14927</v>
      </c>
      <c r="D9" s="11">
        <f t="shared" si="4"/>
        <v>14911</v>
      </c>
      <c r="E9" s="11">
        <f t="shared" si="4"/>
        <v>14660</v>
      </c>
      <c r="F9" s="11">
        <f t="shared" si="4"/>
        <v>14660</v>
      </c>
      <c r="G9" s="11">
        <f t="shared" si="4"/>
        <v>14660</v>
      </c>
      <c r="H9" s="11">
        <f t="shared" si="4"/>
        <v>14660</v>
      </c>
      <c r="I9" s="11">
        <f t="shared" si="4"/>
        <v>14660</v>
      </c>
    </row>
    <row r="10" spans="1:10" x14ac:dyDescent="0.25">
      <c r="A10" s="20" t="s">
        <v>147</v>
      </c>
      <c r="B10" s="6">
        <f>-1*'Income statement'!B30/'Debt schedule'!B4</f>
        <v>3.9532859422602637E-2</v>
      </c>
      <c r="C10" s="6">
        <f>-1*'Income statement'!C30/'Debt schedule'!C4</f>
        <v>4.2267900898448132E-2</v>
      </c>
      <c r="D10" s="6">
        <f>-1*'Income statement'!D30/'Debt schedule'!D4</f>
        <v>4.3859649122807015E-2</v>
      </c>
      <c r="E10" s="6">
        <f>D10</f>
        <v>4.3859649122807015E-2</v>
      </c>
      <c r="F10" s="6">
        <f t="shared" ref="F10:I10" si="5">E10</f>
        <v>4.3859649122807015E-2</v>
      </c>
      <c r="G10" s="6">
        <f t="shared" si="5"/>
        <v>4.3859649122807015E-2</v>
      </c>
      <c r="H10" s="6">
        <f t="shared" si="5"/>
        <v>4.3859649122807015E-2</v>
      </c>
      <c r="I10" s="6">
        <f t="shared" si="5"/>
        <v>4.3859649122807015E-2</v>
      </c>
    </row>
    <row r="11" spans="1:10" x14ac:dyDescent="0.25">
      <c r="A11" t="s">
        <v>148</v>
      </c>
      <c r="B11" s="11">
        <f>B9*B10</f>
        <v>563.67927607717968</v>
      </c>
      <c r="C11" s="11">
        <f t="shared" ref="C11:I11" si="6">C9*C10</f>
        <v>630.93295671113526</v>
      </c>
      <c r="D11" s="11">
        <f t="shared" si="6"/>
        <v>653.99122807017545</v>
      </c>
      <c r="E11" s="11">
        <f t="shared" si="6"/>
        <v>642.98245614035079</v>
      </c>
      <c r="F11" s="11">
        <f t="shared" si="6"/>
        <v>642.98245614035079</v>
      </c>
      <c r="G11" s="11">
        <f t="shared" si="6"/>
        <v>642.98245614035079</v>
      </c>
      <c r="H11" s="11">
        <f t="shared" si="6"/>
        <v>642.98245614035079</v>
      </c>
      <c r="I11" s="11">
        <f t="shared" si="6"/>
        <v>642.98245614035079</v>
      </c>
    </row>
    <row r="12" spans="1:10" x14ac:dyDescent="0.25">
      <c r="B12" s="11"/>
      <c r="C12" s="11"/>
      <c r="D12" s="11"/>
      <c r="E12" s="11"/>
      <c r="F12" s="11"/>
      <c r="G12" s="11"/>
      <c r="H12" s="11"/>
      <c r="I12" s="11"/>
    </row>
    <row r="13" spans="1:10" x14ac:dyDescent="0.25">
      <c r="B13" s="11"/>
      <c r="C13" s="11"/>
      <c r="D13" s="11"/>
      <c r="E13" s="11"/>
      <c r="F13" s="11"/>
      <c r="G13" s="11"/>
      <c r="H13" s="11"/>
      <c r="I13" s="11"/>
    </row>
    <row r="14" spans="1:10" x14ac:dyDescent="0.25">
      <c r="B14" s="11"/>
      <c r="C14" s="11"/>
      <c r="D14" s="11"/>
      <c r="E14" s="11"/>
      <c r="F14" s="11"/>
      <c r="G14" s="11"/>
      <c r="H14" s="11"/>
      <c r="I14" s="11"/>
    </row>
    <row r="15" spans="1:10" x14ac:dyDescent="0.25">
      <c r="B15" s="11"/>
      <c r="C15" s="11"/>
      <c r="D15" s="11"/>
      <c r="E15" s="11"/>
      <c r="F15" s="11"/>
      <c r="G15" s="11"/>
      <c r="H15" s="11"/>
      <c r="I15" s="11"/>
    </row>
    <row r="16" spans="1:10" x14ac:dyDescent="0.25">
      <c r="B16" s="11"/>
      <c r="C16" s="11"/>
      <c r="D16" s="11"/>
      <c r="E16" s="11"/>
      <c r="F16" s="11"/>
      <c r="G16" s="11"/>
      <c r="H16" s="11"/>
      <c r="I16" s="11"/>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A6D43-19B4-41B9-845A-8E19BA67CE0F}">
  <sheetPr>
    <tabColor rgb="FF002060"/>
  </sheetPr>
  <dimension ref="A1:T24"/>
  <sheetViews>
    <sheetView showGridLines="0" workbookViewId="0">
      <selection activeCell="A2" sqref="A2"/>
    </sheetView>
  </sheetViews>
  <sheetFormatPr defaultRowHeight="15" x14ac:dyDescent="0.25"/>
  <sheetData>
    <row r="1" spans="1:9" ht="21" customHeight="1" x14ac:dyDescent="0.35">
      <c r="A1" s="118" t="s">
        <v>152</v>
      </c>
      <c r="B1" s="118"/>
      <c r="C1" s="118"/>
      <c r="D1" s="118"/>
      <c r="E1" s="118"/>
      <c r="F1" s="118"/>
      <c r="G1" s="118"/>
      <c r="H1" s="118"/>
      <c r="I1" s="118"/>
    </row>
    <row r="15" spans="1:9" x14ac:dyDescent="0.25">
      <c r="A15" s="7"/>
    </row>
    <row r="18" spans="1:20" x14ac:dyDescent="0.25">
      <c r="A18" s="7"/>
    </row>
    <row r="20" spans="1:20" x14ac:dyDescent="0.25">
      <c r="T20" t="s">
        <v>154</v>
      </c>
    </row>
    <row r="21" spans="1:20" x14ac:dyDescent="0.25">
      <c r="T21" t="s">
        <v>153</v>
      </c>
    </row>
    <row r="23" spans="1:20" x14ac:dyDescent="0.25">
      <c r="T23" t="s">
        <v>155</v>
      </c>
    </row>
    <row r="24" spans="1:20" x14ac:dyDescent="0.25">
      <c r="T24" t="s">
        <v>156</v>
      </c>
    </row>
  </sheetData>
  <mergeCells count="1">
    <mergeCell ref="A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3646-EE6E-4148-B316-F0E43EE7DF0A}">
  <dimension ref="A1:M52"/>
  <sheetViews>
    <sheetView showGridLines="0" zoomScaleNormal="100" workbookViewId="0">
      <selection activeCell="F38" sqref="F38"/>
    </sheetView>
  </sheetViews>
  <sheetFormatPr defaultRowHeight="15" x14ac:dyDescent="0.25"/>
  <cols>
    <col min="1" max="1" width="31" customWidth="1"/>
    <col min="2" max="2" width="11.42578125" customWidth="1"/>
    <col min="3" max="3" width="9.5703125" customWidth="1"/>
    <col min="5" max="5" width="14.42578125" customWidth="1"/>
    <col min="6" max="6" width="10.5703125" bestFit="1" customWidth="1"/>
    <col min="7" max="8" width="9.5703125" bestFit="1" customWidth="1"/>
    <col min="9" max="9" width="10.42578125" customWidth="1"/>
    <col min="11" max="11" width="10.5703125" bestFit="1" customWidth="1"/>
    <col min="13" max="13" width="10.140625" bestFit="1" customWidth="1"/>
  </cols>
  <sheetData>
    <row r="1" spans="1:9" ht="21" customHeight="1" x14ac:dyDescent="0.35">
      <c r="A1" s="118" t="s">
        <v>157</v>
      </c>
      <c r="B1" s="118"/>
      <c r="C1" s="118"/>
      <c r="D1" s="118"/>
      <c r="E1" s="118"/>
      <c r="F1" s="118"/>
      <c r="G1" s="118"/>
      <c r="H1" s="118"/>
      <c r="I1" s="118"/>
    </row>
    <row r="2" spans="1:9" x14ac:dyDescent="0.25">
      <c r="E2" s="21">
        <f>2026</f>
        <v>2026</v>
      </c>
      <c r="F2" s="21">
        <f t="shared" ref="F2:I2" si="0">E2+1</f>
        <v>2027</v>
      </c>
      <c r="G2" s="21">
        <f t="shared" si="0"/>
        <v>2028</v>
      </c>
      <c r="H2" s="21">
        <f t="shared" si="0"/>
        <v>2029</v>
      </c>
      <c r="I2" s="21">
        <f t="shared" si="0"/>
        <v>2030</v>
      </c>
    </row>
    <row r="3" spans="1:9" x14ac:dyDescent="0.25">
      <c r="A3" t="s">
        <v>158</v>
      </c>
      <c r="E3" s="11">
        <f>'Income statement'!E24</f>
        <v>3936.698866798105</v>
      </c>
      <c r="F3" s="11">
        <f>'Income statement'!F24</f>
        <v>4076.1450483488461</v>
      </c>
      <c r="G3" s="11">
        <f>'Income statement'!G24</f>
        <v>4221.8663080693805</v>
      </c>
      <c r="H3" s="11">
        <f>'Income statement'!H24</f>
        <v>4374.145024477335</v>
      </c>
      <c r="I3" s="11">
        <f>'Income statement'!I24</f>
        <v>4533.2762831236496</v>
      </c>
    </row>
    <row r="4" spans="1:9" x14ac:dyDescent="0.25">
      <c r="A4" t="s">
        <v>164</v>
      </c>
      <c r="E4" s="11">
        <f>E3*'Income statement'!E42</f>
        <v>669.23880735567786</v>
      </c>
      <c r="F4" s="11">
        <f>F3*'Income statement'!F42</f>
        <v>692.94465821930385</v>
      </c>
      <c r="G4" s="11">
        <f>G3*'Income statement'!G42</f>
        <v>717.71727237179471</v>
      </c>
      <c r="H4" s="11">
        <f>H3*'Income statement'!H42</f>
        <v>743.60465416114698</v>
      </c>
      <c r="I4" s="11">
        <f>I3*'Income statement'!I42</f>
        <v>770.65696813102045</v>
      </c>
    </row>
    <row r="5" spans="1:9" x14ac:dyDescent="0.25">
      <c r="A5" s="7" t="s">
        <v>159</v>
      </c>
      <c r="E5" s="41">
        <f>E3-E4</f>
        <v>3267.4600594424273</v>
      </c>
      <c r="F5" s="41">
        <f t="shared" ref="F5:I5" si="1">F3-F4</f>
        <v>3383.200390129542</v>
      </c>
      <c r="G5" s="41">
        <f t="shared" si="1"/>
        <v>3504.1490356975855</v>
      </c>
      <c r="H5" s="41">
        <f t="shared" si="1"/>
        <v>3630.5403703161883</v>
      </c>
      <c r="I5" s="41">
        <f t="shared" si="1"/>
        <v>3762.6193149926294</v>
      </c>
    </row>
    <row r="6" spans="1:9" x14ac:dyDescent="0.25">
      <c r="A6" t="s">
        <v>160</v>
      </c>
      <c r="E6" s="11">
        <f>'Cash Flow statement'!E10</f>
        <v>1572.3292446585153</v>
      </c>
      <c r="F6" s="11">
        <f>'Cash Flow statement'!F10</f>
        <v>1680.7893281233148</v>
      </c>
      <c r="G6" s="11">
        <f>'Cash Flow statement'!G10</f>
        <v>1794.1301153440302</v>
      </c>
      <c r="H6" s="11">
        <f>'Cash Flow statement'!H10</f>
        <v>1912.5712379896777</v>
      </c>
      <c r="I6" s="11">
        <f>'Cash Flow statement'!I10</f>
        <v>2036.3422111543794</v>
      </c>
    </row>
    <row r="7" spans="1:9" x14ac:dyDescent="0.25">
      <c r="A7" s="55"/>
      <c r="E7" s="41">
        <f>E5+E6</f>
        <v>4839.7893041009429</v>
      </c>
      <c r="F7" s="41">
        <f t="shared" ref="F7:I7" si="2">F5+F6</f>
        <v>5063.9897182528566</v>
      </c>
      <c r="G7" s="41">
        <f t="shared" si="2"/>
        <v>5298.2791510416155</v>
      </c>
      <c r="H7" s="41">
        <f t="shared" si="2"/>
        <v>5543.111608305866</v>
      </c>
      <c r="I7" s="41">
        <f t="shared" si="2"/>
        <v>5798.961526147009</v>
      </c>
    </row>
    <row r="8" spans="1:9" x14ac:dyDescent="0.25">
      <c r="A8" s="3" t="s">
        <v>161</v>
      </c>
      <c r="E8" s="11">
        <f>'Cash Flow statement'!E32</f>
        <v>-1522.3999999999999</v>
      </c>
      <c r="F8" s="11">
        <f>'Cash Flow statement'!F32</f>
        <v>-1590.9079999999999</v>
      </c>
      <c r="G8" s="11">
        <f>'Cash Flow statement'!G32</f>
        <v>-1662.4988599999999</v>
      </c>
      <c r="H8" s="11">
        <f>'Cash Flow statement'!H32</f>
        <v>-1737.3113086999997</v>
      </c>
      <c r="I8" s="11">
        <f>'Cash Flow statement'!I32</f>
        <v>-1815.4903175914997</v>
      </c>
    </row>
    <row r="9" spans="1:9" x14ac:dyDescent="0.25">
      <c r="A9" s="3" t="s">
        <v>162</v>
      </c>
      <c r="E9" s="11">
        <f>-('Working capital schedule'!E26-'Working capital schedule'!D26)</f>
        <v>-368.81590779274848</v>
      </c>
      <c r="F9" s="11">
        <f>-('Working capital schedule'!F26-'Working capital schedule'!E26)</f>
        <v>-72.801715850670007</v>
      </c>
      <c r="G9" s="11">
        <f>-('Working capital schedule'!G26-'Working capital schedule'!F26)</f>
        <v>-76.077793063956051</v>
      </c>
      <c r="H9" s="11">
        <f>-('Working capital schedule'!H26-'Working capital schedule'!G26)</f>
        <v>-79.501293751833146</v>
      </c>
      <c r="I9" s="11">
        <f>-('Working capital schedule'!I26-'Working capital schedule'!H26)</f>
        <v>-83.078851970663891</v>
      </c>
    </row>
    <row r="10" spans="1:9" ht="15.75" thickBot="1" x14ac:dyDescent="0.3">
      <c r="A10" s="55" t="s">
        <v>163</v>
      </c>
      <c r="B10" s="7"/>
      <c r="C10" s="7"/>
      <c r="D10" s="7"/>
      <c r="E10" s="56">
        <f>E7+E8+E9</f>
        <v>2948.5733963081948</v>
      </c>
      <c r="F10" s="56">
        <f t="shared" ref="F10:I10" si="3">F7+F8+F9</f>
        <v>3400.2800024021867</v>
      </c>
      <c r="G10" s="56">
        <f t="shared" si="3"/>
        <v>3559.7024979776597</v>
      </c>
      <c r="H10" s="56">
        <f t="shared" si="3"/>
        <v>3726.2990058540331</v>
      </c>
      <c r="I10" s="56">
        <f t="shared" si="3"/>
        <v>3900.3923565848454</v>
      </c>
    </row>
    <row r="11" spans="1:9" ht="15.75" thickTop="1" x14ac:dyDescent="0.25"/>
    <row r="12" spans="1:9" x14ac:dyDescent="0.25">
      <c r="A12" t="s">
        <v>181</v>
      </c>
      <c r="E12">
        <v>1</v>
      </c>
      <c r="F12">
        <v>2</v>
      </c>
      <c r="G12">
        <v>3</v>
      </c>
      <c r="H12">
        <v>4</v>
      </c>
      <c r="I12">
        <v>5</v>
      </c>
    </row>
    <row r="13" spans="1:9" x14ac:dyDescent="0.25">
      <c r="A13" t="s">
        <v>182</v>
      </c>
      <c r="E13" s="75">
        <f>1/((1+$F$52)^E12)</f>
        <v>0.92268070978570293</v>
      </c>
      <c r="F13" s="75">
        <f t="shared" ref="F13:I13" si="4">1/((1+$F$52)^F12)</f>
        <v>0.85133969221064854</v>
      </c>
      <c r="G13" s="75">
        <f t="shared" si="4"/>
        <v>0.78551471147766294</v>
      </c>
      <c r="H13" s="75">
        <f t="shared" si="4"/>
        <v>0.72477927153332178</v>
      </c>
      <c r="I13" s="75">
        <f t="shared" si="4"/>
        <v>0.66873985269632996</v>
      </c>
    </row>
    <row r="14" spans="1:9" x14ac:dyDescent="0.25">
      <c r="A14" t="s">
        <v>183</v>
      </c>
      <c r="E14" s="13">
        <f>E10*E13</f>
        <v>2720.5917941608859</v>
      </c>
      <c r="F14" s="13">
        <f t="shared" ref="F14:I14" si="5">F10*F13</f>
        <v>2894.7933306751011</v>
      </c>
      <c r="G14" s="13">
        <f t="shared" si="5"/>
        <v>2796.1986806452373</v>
      </c>
      <c r="H14" s="13">
        <f t="shared" si="5"/>
        <v>2700.7442789782272</v>
      </c>
      <c r="I14" s="13">
        <f t="shared" si="5"/>
        <v>2608.3478100004409</v>
      </c>
    </row>
    <row r="15" spans="1:9" x14ac:dyDescent="0.25">
      <c r="A15" s="7" t="s">
        <v>184</v>
      </c>
    </row>
    <row r="17" spans="1:6" x14ac:dyDescent="0.25">
      <c r="A17" t="s">
        <v>185</v>
      </c>
    </row>
    <row r="18" spans="1:6" x14ac:dyDescent="0.25">
      <c r="A18" s="76" t="s">
        <v>186</v>
      </c>
      <c r="B18" s="57"/>
      <c r="C18" s="57"/>
      <c r="D18" s="57"/>
      <c r="E18" s="77">
        <f>I3+I6</f>
        <v>6569.6184942780292</v>
      </c>
    </row>
    <row r="19" spans="1:6" x14ac:dyDescent="0.25">
      <c r="A19" s="59" t="s">
        <v>187</v>
      </c>
      <c r="E19" s="79">
        <f>C28/I7</f>
        <v>11.725069928022766</v>
      </c>
      <c r="F19" t="s">
        <v>202</v>
      </c>
    </row>
    <row r="20" spans="1:6" x14ac:dyDescent="0.25">
      <c r="A20" s="59" t="s">
        <v>184</v>
      </c>
      <c r="E20" s="74">
        <f>E18*E19</f>
        <v>77029.236245841515</v>
      </c>
    </row>
    <row r="21" spans="1:6" x14ac:dyDescent="0.25">
      <c r="A21" s="66" t="s">
        <v>188</v>
      </c>
      <c r="B21" s="61"/>
      <c r="C21" s="61"/>
      <c r="D21" s="61"/>
      <c r="E21" s="80">
        <f>E20/((1+F52)^I12)</f>
        <v>51512.520100354857</v>
      </c>
    </row>
    <row r="24" spans="1:6" x14ac:dyDescent="0.25">
      <c r="A24" t="s">
        <v>189</v>
      </c>
      <c r="D24" t="s">
        <v>199</v>
      </c>
    </row>
    <row r="25" spans="1:6" x14ac:dyDescent="0.25">
      <c r="A25" s="76" t="s">
        <v>200</v>
      </c>
      <c r="B25" s="57"/>
      <c r="C25" s="77">
        <f>I10</f>
        <v>3900.3923565848454</v>
      </c>
    </row>
    <row r="26" spans="1:6" x14ac:dyDescent="0.25">
      <c r="A26" s="59" t="s">
        <v>201</v>
      </c>
      <c r="C26" s="68">
        <v>2.5000000000000001E-2</v>
      </c>
    </row>
    <row r="27" spans="1:6" x14ac:dyDescent="0.25">
      <c r="A27" s="59" t="s">
        <v>165</v>
      </c>
      <c r="C27" s="68">
        <f>F52</f>
        <v>8.3798533332570604E-2</v>
      </c>
    </row>
    <row r="28" spans="1:6" x14ac:dyDescent="0.25">
      <c r="A28" s="59" t="s">
        <v>184</v>
      </c>
      <c r="C28" s="78">
        <f>C25*(1+C26)/(C27-C26)</f>
        <v>67993.229403987294</v>
      </c>
    </row>
    <row r="29" spans="1:6" x14ac:dyDescent="0.25">
      <c r="A29" s="66" t="s">
        <v>188</v>
      </c>
      <c r="B29" s="61"/>
      <c r="C29" s="80">
        <f>C28/((1+C27)^I12)</f>
        <v>45469.782215970234</v>
      </c>
    </row>
    <row r="30" spans="1:6" x14ac:dyDescent="0.25">
      <c r="C30" s="13"/>
    </row>
    <row r="31" spans="1:6" x14ac:dyDescent="0.25">
      <c r="A31" s="7" t="s">
        <v>193</v>
      </c>
      <c r="E31" s="7" t="s">
        <v>194</v>
      </c>
      <c r="F31" s="7" t="s">
        <v>195</v>
      </c>
    </row>
    <row r="32" spans="1:6" x14ac:dyDescent="0.25">
      <c r="A32" s="76" t="s">
        <v>190</v>
      </c>
      <c r="B32" s="57"/>
      <c r="C32" s="57"/>
      <c r="D32" s="57"/>
      <c r="E32" s="77">
        <f>SUM(E14:I14)</f>
        <v>13720.675894459893</v>
      </c>
      <c r="F32" s="77">
        <v>13720.675894459893</v>
      </c>
    </row>
    <row r="33" spans="1:13" x14ac:dyDescent="0.25">
      <c r="A33" s="59" t="s">
        <v>191</v>
      </c>
      <c r="E33" s="78">
        <f>E21</f>
        <v>51512.520100354857</v>
      </c>
      <c r="F33" s="83">
        <f>C29</f>
        <v>45469.782215970234</v>
      </c>
    </row>
    <row r="34" spans="1:13" x14ac:dyDescent="0.25">
      <c r="A34" s="81" t="s">
        <v>192</v>
      </c>
      <c r="B34" s="61"/>
      <c r="C34" s="61"/>
      <c r="D34" s="61"/>
      <c r="E34" s="80">
        <f>SUM(E32:E33)</f>
        <v>65233.195994814749</v>
      </c>
      <c r="F34" s="80">
        <f>SUM(F32:F33)</f>
        <v>59190.458110430125</v>
      </c>
    </row>
    <row r="35" spans="1:13" x14ac:dyDescent="0.25">
      <c r="A35" s="76" t="s">
        <v>196</v>
      </c>
      <c r="B35" s="57"/>
      <c r="C35" s="57"/>
      <c r="E35" s="77">
        <f>F48-'Balance sheet'!D8</f>
        <v>10257</v>
      </c>
      <c r="F35" s="58">
        <v>10257</v>
      </c>
    </row>
    <row r="36" spans="1:13" x14ac:dyDescent="0.25">
      <c r="A36" s="82" t="s">
        <v>197</v>
      </c>
      <c r="B36" s="7"/>
      <c r="C36" s="7"/>
      <c r="D36" s="7"/>
      <c r="E36" s="84">
        <f>E34-E35</f>
        <v>54976.195994814749</v>
      </c>
      <c r="F36" s="84">
        <f>F34-F35</f>
        <v>48933.458110430125</v>
      </c>
    </row>
    <row r="37" spans="1:13" x14ac:dyDescent="0.25">
      <c r="A37" s="59" t="s">
        <v>172</v>
      </c>
      <c r="E37" s="70">
        <f>F50</f>
        <v>141.643</v>
      </c>
      <c r="F37" s="60">
        <v>141.643</v>
      </c>
    </row>
    <row r="38" spans="1:13" x14ac:dyDescent="0.25">
      <c r="A38" s="66" t="s">
        <v>198</v>
      </c>
      <c r="B38" s="61"/>
      <c r="C38" s="61"/>
      <c r="D38" s="61"/>
      <c r="E38" s="85">
        <f>E36/E37</f>
        <v>388.13210673887693</v>
      </c>
      <c r="F38" s="85">
        <f>F36/F37</f>
        <v>345.47035935718759</v>
      </c>
    </row>
    <row r="41" spans="1:13" x14ac:dyDescent="0.25">
      <c r="A41" s="7" t="s">
        <v>166</v>
      </c>
    </row>
    <row r="42" spans="1:13" x14ac:dyDescent="0.25">
      <c r="A42" t="s">
        <v>178</v>
      </c>
    </row>
    <row r="43" spans="1:13" x14ac:dyDescent="0.25">
      <c r="A43" t="s">
        <v>179</v>
      </c>
    </row>
    <row r="45" spans="1:13" x14ac:dyDescent="0.25">
      <c r="A45" s="62" t="s">
        <v>167</v>
      </c>
      <c r="B45" s="1"/>
      <c r="C45" s="1"/>
      <c r="D45" s="1"/>
      <c r="E45" s="1"/>
      <c r="F45" s="63"/>
      <c r="I45" s="62" t="s">
        <v>174</v>
      </c>
      <c r="J45" s="1"/>
      <c r="K45" s="1"/>
      <c r="L45" s="1"/>
      <c r="M45" s="63"/>
    </row>
    <row r="46" spans="1:13" x14ac:dyDescent="0.25">
      <c r="A46" s="59" t="s">
        <v>168</v>
      </c>
      <c r="F46" s="67">
        <f>M52</f>
        <v>9.1351999999999989E-2</v>
      </c>
      <c r="I46" s="59" t="s">
        <v>175</v>
      </c>
      <c r="M46" s="67">
        <v>4.3700000000000003E-2</v>
      </c>
    </row>
    <row r="47" spans="1:13" x14ac:dyDescent="0.25">
      <c r="A47" s="59" t="s">
        <v>169</v>
      </c>
      <c r="F47" s="68">
        <f>'Debt schedule'!E10</f>
        <v>4.3859649122807015E-2</v>
      </c>
      <c r="I47" s="59" t="s">
        <v>176</v>
      </c>
      <c r="M47" s="64">
        <v>1.1399999999999999</v>
      </c>
    </row>
    <row r="48" spans="1:13" x14ac:dyDescent="0.25">
      <c r="A48" s="59" t="s">
        <v>170</v>
      </c>
      <c r="F48" s="74">
        <f>'Debt schedule'!E8</f>
        <v>14660</v>
      </c>
      <c r="I48" s="59" t="s">
        <v>177</v>
      </c>
      <c r="M48" s="69">
        <v>4.1799999999999997E-2</v>
      </c>
    </row>
    <row r="49" spans="1:13" x14ac:dyDescent="0.25">
      <c r="A49" s="59" t="s">
        <v>171</v>
      </c>
      <c r="F49" s="64">
        <v>557.47</v>
      </c>
      <c r="I49" s="59"/>
      <c r="M49" s="64"/>
    </row>
    <row r="50" spans="1:13" x14ac:dyDescent="0.25">
      <c r="A50" s="59" t="s">
        <v>172</v>
      </c>
      <c r="F50" s="70">
        <f>'Income statement'!E53</f>
        <v>141.643</v>
      </c>
      <c r="I50" s="59"/>
      <c r="M50" s="64"/>
    </row>
    <row r="51" spans="1:13" x14ac:dyDescent="0.25">
      <c r="A51" s="59" t="s">
        <v>180</v>
      </c>
      <c r="F51" s="71">
        <f>F49*F50</f>
        <v>78961.723210000011</v>
      </c>
      <c r="I51" s="59"/>
      <c r="M51" s="65"/>
    </row>
    <row r="52" spans="1:13" x14ac:dyDescent="0.25">
      <c r="A52" s="62" t="s">
        <v>173</v>
      </c>
      <c r="B52" s="1"/>
      <c r="C52" s="1"/>
      <c r="D52" s="1"/>
      <c r="E52" s="1"/>
      <c r="F52" s="73">
        <f>((F51/(F51+F48))*F46)+((F48/(F51+F48))*F47*(1-0.017))</f>
        <v>8.3798533332570604E-2</v>
      </c>
      <c r="I52" s="62" t="s">
        <v>168</v>
      </c>
      <c r="J52" s="1"/>
      <c r="K52" s="1"/>
      <c r="L52" s="1"/>
      <c r="M52" s="72">
        <f>M46+(M47*M48)</f>
        <v>9.1351999999999989E-2</v>
      </c>
    </row>
  </sheetData>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E91C-C787-4CC6-835C-E0E954257C9C}">
  <dimension ref="A2:U24"/>
  <sheetViews>
    <sheetView showGridLines="0" workbookViewId="0">
      <selection activeCell="Q21" sqref="Q21"/>
    </sheetView>
  </sheetViews>
  <sheetFormatPr defaultColWidth="12.7109375" defaultRowHeight="15" x14ac:dyDescent="0.25"/>
  <cols>
    <col min="1" max="1" width="22.85546875" customWidth="1"/>
    <col min="4" max="4" width="15.28515625" bestFit="1" customWidth="1"/>
  </cols>
  <sheetData>
    <row r="2" spans="1:21" ht="21" x14ac:dyDescent="0.35">
      <c r="A2" s="87" t="s">
        <v>204</v>
      </c>
      <c r="B2" s="87"/>
      <c r="C2" s="87"/>
      <c r="D2" s="87"/>
      <c r="E2" s="61"/>
      <c r="F2" s="61"/>
      <c r="G2" s="61"/>
      <c r="H2" s="61"/>
      <c r="I2" s="61"/>
      <c r="J2" s="61"/>
      <c r="K2" s="61"/>
      <c r="L2" s="61"/>
      <c r="M2" s="61"/>
      <c r="N2" s="61"/>
      <c r="O2" s="61"/>
      <c r="P2" s="61"/>
      <c r="Q2" s="61"/>
      <c r="R2" s="61"/>
      <c r="S2" s="61"/>
      <c r="T2" s="61"/>
      <c r="U2" s="61"/>
    </row>
    <row r="4" spans="1:21" ht="18.75" x14ac:dyDescent="0.3">
      <c r="A4" s="88"/>
      <c r="B4" s="88"/>
      <c r="C4" s="120" t="s">
        <v>205</v>
      </c>
      <c r="D4" s="120"/>
      <c r="E4" s="120"/>
      <c r="F4" s="120"/>
      <c r="G4" s="120"/>
      <c r="H4" s="88"/>
      <c r="I4" s="120" t="s">
        <v>215</v>
      </c>
      <c r="J4" s="120"/>
      <c r="K4" s="120"/>
      <c r="L4" s="88"/>
      <c r="M4" s="121" t="s">
        <v>216</v>
      </c>
      <c r="N4" s="121"/>
      <c r="O4" s="121"/>
    </row>
    <row r="5" spans="1:21" ht="30" x14ac:dyDescent="0.25">
      <c r="A5" s="89" t="s">
        <v>206</v>
      </c>
      <c r="B5" s="89" t="s">
        <v>207</v>
      </c>
      <c r="C5" s="90" t="s">
        <v>208</v>
      </c>
      <c r="D5" s="90" t="s">
        <v>209</v>
      </c>
      <c r="E5" s="91" t="s">
        <v>210</v>
      </c>
      <c r="F5" s="91" t="s">
        <v>211</v>
      </c>
      <c r="G5" s="90" t="s">
        <v>212</v>
      </c>
      <c r="H5" s="88"/>
      <c r="I5" s="91" t="s">
        <v>213</v>
      </c>
      <c r="J5" s="91" t="s">
        <v>79</v>
      </c>
      <c r="K5" s="91" t="s">
        <v>214</v>
      </c>
      <c r="L5" s="88"/>
      <c r="M5" s="89" t="s">
        <v>217</v>
      </c>
      <c r="N5" s="89" t="s">
        <v>218</v>
      </c>
      <c r="O5" s="89" t="s">
        <v>219</v>
      </c>
    </row>
    <row r="6" spans="1:21" ht="6" customHeight="1" x14ac:dyDescent="0.25">
      <c r="A6" s="101"/>
      <c r="B6" s="101"/>
      <c r="C6" s="102"/>
      <c r="D6" s="102"/>
      <c r="E6" s="103"/>
      <c r="F6" s="103"/>
      <c r="G6" s="102"/>
      <c r="H6" s="104"/>
      <c r="I6" s="103"/>
      <c r="J6" s="103"/>
      <c r="K6" s="103"/>
      <c r="L6" s="104"/>
      <c r="M6" s="101"/>
      <c r="N6" s="101"/>
      <c r="O6" s="101"/>
    </row>
    <row r="7" spans="1:21" s="7" customFormat="1" x14ac:dyDescent="0.25">
      <c r="A7" s="109" t="s">
        <v>235</v>
      </c>
      <c r="B7" s="110" t="s">
        <v>231</v>
      </c>
      <c r="C7" s="111">
        <v>547.23</v>
      </c>
      <c r="D7" s="112">
        <v>141.91999999999999</v>
      </c>
      <c r="E7" s="113">
        <f>C7*D7</f>
        <v>77662.881599999993</v>
      </c>
      <c r="F7" s="114">
        <v>10759</v>
      </c>
      <c r="G7" s="115">
        <f>E7+F7</f>
        <v>88421.881599999993</v>
      </c>
      <c r="H7" s="106"/>
      <c r="I7" s="114">
        <v>41954</v>
      </c>
      <c r="J7" s="114">
        <v>6820</v>
      </c>
      <c r="K7" s="114">
        <v>4182</v>
      </c>
      <c r="L7" s="106"/>
      <c r="M7" s="116">
        <f>$G7/I7</f>
        <v>2.1075912094198408</v>
      </c>
      <c r="N7" s="116">
        <f>$G7/J7</f>
        <v>12.965085278592374</v>
      </c>
      <c r="O7" s="117">
        <f>E7/K7</f>
        <v>18.570751219512193</v>
      </c>
    </row>
    <row r="8" spans="1:21" x14ac:dyDescent="0.25">
      <c r="A8" t="s">
        <v>203</v>
      </c>
      <c r="B8" s="86" t="s">
        <v>220</v>
      </c>
      <c r="C8" s="93">
        <v>560.99</v>
      </c>
      <c r="D8" s="92">
        <v>230.79</v>
      </c>
      <c r="E8" s="27">
        <f>C8*D8</f>
        <v>129470.8821</v>
      </c>
      <c r="F8" s="94">
        <f>1168+20532-4121</f>
        <v>17579</v>
      </c>
      <c r="G8" s="96">
        <f>E8+F8</f>
        <v>147049.88209999999</v>
      </c>
      <c r="H8" s="92"/>
      <c r="I8" s="94">
        <f>75000</f>
        <v>75000</v>
      </c>
      <c r="J8" s="94">
        <f>8640+1560</f>
        <v>10200</v>
      </c>
      <c r="K8" s="94">
        <v>5017</v>
      </c>
      <c r="M8" s="97">
        <f>$G8/I8</f>
        <v>1.9606650946666666</v>
      </c>
      <c r="N8" s="97">
        <f>$G8/J8</f>
        <v>14.416655107843136</v>
      </c>
      <c r="O8" s="97">
        <f>E8/K8</f>
        <v>25.806434542555312</v>
      </c>
    </row>
    <row r="9" spans="1:21" x14ac:dyDescent="0.25">
      <c r="A9" t="s">
        <v>221</v>
      </c>
      <c r="B9" s="86" t="s">
        <v>222</v>
      </c>
      <c r="C9" s="93">
        <v>379.07</v>
      </c>
      <c r="D9" s="92">
        <v>270.56</v>
      </c>
      <c r="E9" s="27">
        <f t="shared" ref="E9:E10" si="0">C9*D9</f>
        <v>102561.1792</v>
      </c>
      <c r="F9" s="94">
        <f>1006+7007-2333</f>
        <v>5680</v>
      </c>
      <c r="G9" s="96">
        <f t="shared" ref="G9:G10" si="1">E9+F9</f>
        <v>108241.1792</v>
      </c>
      <c r="H9" s="92"/>
      <c r="I9" s="94">
        <f>52553</f>
        <v>52553</v>
      </c>
      <c r="J9" s="94">
        <v>7440</v>
      </c>
      <c r="K9" s="94">
        <v>4210</v>
      </c>
      <c r="M9" s="97">
        <f t="shared" ref="M9:M10" si="2">$G9/I9</f>
        <v>2.0596574734077979</v>
      </c>
      <c r="N9" s="97">
        <f t="shared" ref="N9:N10" si="3">$G9/J9</f>
        <v>14.548545591397849</v>
      </c>
      <c r="O9" s="97">
        <f t="shared" ref="O9:O10" si="4">E9/K9</f>
        <v>24.361325225653207</v>
      </c>
    </row>
    <row r="10" spans="1:21" x14ac:dyDescent="0.25">
      <c r="A10" t="s">
        <v>223</v>
      </c>
      <c r="B10" s="86" t="s">
        <v>224</v>
      </c>
      <c r="C10" s="93">
        <v>210.99</v>
      </c>
      <c r="D10" s="95">
        <v>1348</v>
      </c>
      <c r="E10" s="27">
        <f t="shared" si="0"/>
        <v>284414.52</v>
      </c>
      <c r="F10" s="94">
        <f>34215-7435</f>
        <v>26780</v>
      </c>
      <c r="G10" s="96">
        <f t="shared" si="1"/>
        <v>311194.52</v>
      </c>
      <c r="H10" s="92"/>
      <c r="I10" s="94">
        <v>88603</v>
      </c>
      <c r="J10" s="94">
        <f>9302+4378</f>
        <v>13680</v>
      </c>
      <c r="K10" s="94">
        <v>6732</v>
      </c>
      <c r="M10" s="97">
        <f t="shared" si="2"/>
        <v>3.5122345744500754</v>
      </c>
      <c r="N10" s="97">
        <f t="shared" si="3"/>
        <v>22.748137426900588</v>
      </c>
      <c r="O10" s="97">
        <f t="shared" si="4"/>
        <v>42.248146167557934</v>
      </c>
    </row>
    <row r="12" spans="1:21" x14ac:dyDescent="0.25">
      <c r="A12" s="98" t="s">
        <v>225</v>
      </c>
      <c r="B12" s="98"/>
      <c r="C12" s="98"/>
      <c r="D12" s="98"/>
      <c r="E12" s="98"/>
      <c r="F12" s="98"/>
      <c r="G12" s="98"/>
      <c r="H12" s="98"/>
      <c r="I12" s="98"/>
      <c r="J12" s="98"/>
      <c r="K12" s="98"/>
      <c r="L12" s="98"/>
      <c r="M12" s="100">
        <f>MAX(M8:M10)</f>
        <v>3.5122345744500754</v>
      </c>
      <c r="N12" s="100">
        <f t="shared" ref="N12:O12" si="5">MAX(N8:N10)</f>
        <v>22.748137426900588</v>
      </c>
      <c r="O12" s="100">
        <f t="shared" si="5"/>
        <v>42.248146167557934</v>
      </c>
    </row>
    <row r="13" spans="1:21" x14ac:dyDescent="0.25">
      <c r="A13" s="98" t="s">
        <v>226</v>
      </c>
      <c r="B13" s="98"/>
      <c r="C13" s="98"/>
      <c r="D13" s="98"/>
      <c r="E13" s="98"/>
      <c r="F13" s="98"/>
      <c r="G13" s="98"/>
      <c r="H13" s="98"/>
      <c r="I13" s="98"/>
      <c r="J13" s="98"/>
      <c r="K13" s="98"/>
      <c r="L13" s="98"/>
      <c r="M13" s="100">
        <f>QUARTILE(M8:M10,3)</f>
        <v>2.7859460239289366</v>
      </c>
      <c r="N13" s="100">
        <f t="shared" ref="N13:O13" si="6">QUARTILE(N8:N10,3)</f>
        <v>18.648341509149219</v>
      </c>
      <c r="O13" s="100">
        <f t="shared" si="6"/>
        <v>34.027290355056621</v>
      </c>
    </row>
    <row r="14" spans="1:21" s="7" customFormat="1" x14ac:dyDescent="0.25">
      <c r="A14" s="99" t="s">
        <v>227</v>
      </c>
      <c r="B14" s="99"/>
      <c r="C14" s="99"/>
      <c r="D14" s="99"/>
      <c r="E14" s="99"/>
      <c r="F14" s="99"/>
      <c r="G14" s="99"/>
      <c r="H14" s="99"/>
      <c r="I14" s="99"/>
      <c r="J14" s="99"/>
      <c r="K14" s="99"/>
      <c r="L14" s="99"/>
      <c r="M14" s="105">
        <f>AVERAGE(M8:M10)</f>
        <v>2.5108523808415133</v>
      </c>
      <c r="N14" s="105">
        <f t="shared" ref="N14:O14" si="7">AVERAGE(N8:N10)</f>
        <v>17.237779375380523</v>
      </c>
      <c r="O14" s="105">
        <f t="shared" si="7"/>
        <v>30.805301978588819</v>
      </c>
    </row>
    <row r="15" spans="1:21" s="7" customFormat="1" x14ac:dyDescent="0.25">
      <c r="A15" s="99" t="s">
        <v>228</v>
      </c>
      <c r="B15" s="99"/>
      <c r="C15" s="99"/>
      <c r="D15" s="99"/>
      <c r="E15" s="99"/>
      <c r="F15" s="99"/>
      <c r="G15" s="99"/>
      <c r="H15" s="99"/>
      <c r="I15" s="99"/>
      <c r="J15" s="99"/>
      <c r="K15" s="99"/>
      <c r="L15" s="99"/>
      <c r="M15" s="105">
        <f>MEDIAN(M8:M10)</f>
        <v>2.0596574734077979</v>
      </c>
      <c r="N15" s="105">
        <f t="shared" ref="N15:O15" si="8">MEDIAN(N8:N10)</f>
        <v>14.548545591397849</v>
      </c>
      <c r="O15" s="105">
        <f t="shared" si="8"/>
        <v>25.806434542555312</v>
      </c>
    </row>
    <row r="16" spans="1:21" x14ac:dyDescent="0.25">
      <c r="A16" s="98" t="s">
        <v>229</v>
      </c>
      <c r="B16" s="98"/>
      <c r="C16" s="98"/>
      <c r="D16" s="98"/>
      <c r="E16" s="98"/>
      <c r="F16" s="98"/>
      <c r="G16" s="98"/>
      <c r="H16" s="98"/>
      <c r="I16" s="98"/>
      <c r="J16" s="98"/>
      <c r="K16" s="98"/>
      <c r="L16" s="98"/>
      <c r="M16" s="100">
        <f>QUARTILE(M8:M10,1)</f>
        <v>2.010161284037232</v>
      </c>
      <c r="N16" s="100">
        <f t="shared" ref="N16:O16" si="9">QUARTILE(N8:N10,1)</f>
        <v>14.482600349620492</v>
      </c>
      <c r="O16" s="100">
        <f t="shared" si="9"/>
        <v>25.08387988410426</v>
      </c>
    </row>
    <row r="17" spans="1:15" x14ac:dyDescent="0.25">
      <c r="A17" s="98" t="s">
        <v>230</v>
      </c>
      <c r="B17" s="98"/>
      <c r="C17" s="98"/>
      <c r="D17" s="98"/>
      <c r="E17" s="98"/>
      <c r="F17" s="98"/>
      <c r="G17" s="98"/>
      <c r="H17" s="98"/>
      <c r="I17" s="98"/>
      <c r="J17" s="98"/>
      <c r="K17" s="98"/>
      <c r="L17" s="98"/>
      <c r="M17" s="100">
        <f>MIN(M8:M10)</f>
        <v>1.9606650946666666</v>
      </c>
      <c r="N17" s="100">
        <f t="shared" ref="N17:O17" si="10">MIN(N8:N10)</f>
        <v>14.416655107843136</v>
      </c>
      <c r="O17" s="100">
        <f t="shared" si="10"/>
        <v>24.361325225653207</v>
      </c>
    </row>
    <row r="19" spans="1:15" x14ac:dyDescent="0.25">
      <c r="A19" s="88" t="s">
        <v>236</v>
      </c>
      <c r="B19" s="88"/>
      <c r="C19" s="88"/>
      <c r="D19" s="88"/>
      <c r="E19" s="88"/>
      <c r="F19" s="88"/>
      <c r="G19" s="88"/>
      <c r="H19" s="88"/>
      <c r="I19" s="88"/>
      <c r="J19" s="88"/>
      <c r="K19" s="88"/>
      <c r="L19" s="88"/>
      <c r="M19" s="89" t="s">
        <v>217</v>
      </c>
      <c r="N19" s="89" t="s">
        <v>218</v>
      </c>
      <c r="O19" s="89" t="s">
        <v>219</v>
      </c>
    </row>
    <row r="20" spans="1:15" x14ac:dyDescent="0.25">
      <c r="A20" t="s">
        <v>233</v>
      </c>
      <c r="M20" s="13">
        <f>M15*I7</f>
        <v>86410.869639350756</v>
      </c>
      <c r="N20" s="13">
        <f t="shared" ref="N20" si="11">N15*J7</f>
        <v>99221.080933333331</v>
      </c>
      <c r="O20" s="13">
        <f>O21+O22</f>
        <v>118681.50925696631</v>
      </c>
    </row>
    <row r="21" spans="1:15" x14ac:dyDescent="0.25">
      <c r="A21" t="s">
        <v>211</v>
      </c>
      <c r="M21" s="13">
        <f>$F$7</f>
        <v>10759</v>
      </c>
      <c r="N21" s="13">
        <f t="shared" ref="N21:O21" si="12">$F$7</f>
        <v>10759</v>
      </c>
      <c r="O21" s="13">
        <f t="shared" si="12"/>
        <v>10759</v>
      </c>
    </row>
    <row r="22" spans="1:15" x14ac:dyDescent="0.25">
      <c r="A22" t="s">
        <v>232</v>
      </c>
      <c r="M22" s="13">
        <f>M20-M21</f>
        <v>75651.869639350756</v>
      </c>
      <c r="N22" s="13">
        <f t="shared" ref="N22" si="13">N20-N21</f>
        <v>88462.080933333331</v>
      </c>
      <c r="O22" s="13">
        <f>O15*K7</f>
        <v>107922.50925696631</v>
      </c>
    </row>
    <row r="23" spans="1:15" x14ac:dyDescent="0.25">
      <c r="A23" s="61" t="s">
        <v>209</v>
      </c>
      <c r="B23" s="61"/>
      <c r="C23" s="61"/>
      <c r="D23" s="61"/>
      <c r="H23" s="61"/>
      <c r="I23" s="61"/>
      <c r="J23" s="61"/>
      <c r="K23" s="61"/>
      <c r="L23" s="61"/>
      <c r="M23" s="107">
        <f>$D$7</f>
        <v>141.91999999999999</v>
      </c>
      <c r="N23" s="107">
        <f t="shared" ref="N23:O23" si="14">$D$7</f>
        <v>141.91999999999999</v>
      </c>
      <c r="O23" s="107">
        <f t="shared" si="14"/>
        <v>141.91999999999999</v>
      </c>
    </row>
    <row r="24" spans="1:15" x14ac:dyDescent="0.25">
      <c r="A24" s="106" t="s">
        <v>234</v>
      </c>
      <c r="B24" s="106"/>
      <c r="C24" s="106"/>
      <c r="D24" s="106"/>
      <c r="E24" s="106"/>
      <c r="F24" s="106"/>
      <c r="G24" s="106"/>
      <c r="H24" s="106"/>
      <c r="I24" s="106"/>
      <c r="J24" s="106"/>
      <c r="K24" s="106"/>
      <c r="L24" s="106"/>
      <c r="M24" s="108">
        <f>M22/M23</f>
        <v>533.0599608184242</v>
      </c>
      <c r="N24" s="108">
        <f t="shared" ref="N24:O24" si="15">N22/N23</f>
        <v>623.3235691469373</v>
      </c>
      <c r="O24" s="108">
        <f t="shared" si="15"/>
        <v>760.44609115675257</v>
      </c>
    </row>
  </sheetData>
  <mergeCells count="3">
    <mergeCell ref="C4:G4"/>
    <mergeCell ref="I4:K4"/>
    <mergeCell ref="M4:O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Income statement</vt:lpstr>
      <vt:lpstr>Cash Flow statement</vt:lpstr>
      <vt:lpstr>Balance sheet</vt:lpstr>
      <vt:lpstr>Supporting schedules --&gt;</vt:lpstr>
      <vt:lpstr>PPE schedule</vt:lpstr>
      <vt:lpstr>Working capital schedule</vt:lpstr>
      <vt:lpstr>Debt schedule</vt:lpstr>
      <vt:lpstr>Valuation --&gt;</vt:lpstr>
      <vt:lpstr>DCF</vt:lpstr>
      <vt:lpstr>Comps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 Harrell</dc:creator>
  <cp:lastModifiedBy>Chuck Harrell</cp:lastModifiedBy>
  <dcterms:created xsi:type="dcterms:W3CDTF">2026-07-18T21:29:24Z</dcterms:created>
  <dcterms:modified xsi:type="dcterms:W3CDTF">2026-08-27T17:23:52Z</dcterms:modified>
</cp:coreProperties>
</file>